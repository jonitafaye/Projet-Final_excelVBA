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11" activeTab="4"/>
  </bookViews>
  <sheets>
    <sheet name="Menu" sheetId="1" r:id="rId1"/>
    <sheet name="données_salaire" sheetId="2" r:id="rId2"/>
    <sheet name="bulletin_salaire" sheetId="5" r:id="rId3"/>
    <sheet name="LIVRE_Paie" sheetId="7" r:id="rId4"/>
    <sheet name="écriture_comptable" sheetId="8" r:id="rId5"/>
    <sheet name="Etat_civil" sheetId="6" r:id="rId6"/>
    <sheet name="Elt_categorie" sheetId="3" r:id="rId7"/>
    <sheet name="SEXE" sheetId="4" r:id="rId8"/>
  </sheets>
  <functionGroups builtInGroupCount="18"/>
  <calcPr calcId="152511"/>
</workbook>
</file>

<file path=xl/calcChain.xml><?xml version="1.0" encoding="utf-8"?>
<calcChain xmlns="http://schemas.openxmlformats.org/spreadsheetml/2006/main">
  <c r="B4" i="5" l="1"/>
  <c r="B5" i="5"/>
  <c r="A5" i="7"/>
  <c r="C11" i="5"/>
  <c r="C15" i="5"/>
  <c r="K6" i="5"/>
  <c r="C12" i="5" s="1"/>
  <c r="C10" i="5"/>
  <c r="C18" i="5" s="1"/>
  <c r="AE41" i="2"/>
  <c r="AE43" i="2"/>
  <c r="AE45" i="2"/>
  <c r="AE47" i="2"/>
  <c r="AE49" i="2"/>
  <c r="AE51" i="2"/>
  <c r="AE48" i="2"/>
  <c r="AE42" i="2"/>
  <c r="AE44" i="2"/>
  <c r="AE46" i="2"/>
  <c r="AE50" i="2"/>
  <c r="AD41" i="2"/>
  <c r="AD43" i="2"/>
  <c r="AD45" i="2"/>
  <c r="AD47" i="2"/>
  <c r="AD49" i="2"/>
  <c r="AD51" i="2"/>
  <c r="AD42" i="2"/>
  <c r="AD44" i="2"/>
  <c r="AD48" i="2"/>
  <c r="AD50" i="2"/>
  <c r="AD46" i="2"/>
  <c r="AC41" i="2"/>
  <c r="AC43" i="2"/>
  <c r="AC45" i="2"/>
  <c r="AC47" i="2"/>
  <c r="AC49" i="2"/>
  <c r="AC51" i="2"/>
  <c r="AC42" i="2"/>
  <c r="AC44" i="2"/>
  <c r="AC46" i="2"/>
  <c r="AC48" i="2"/>
  <c r="AC50" i="2"/>
  <c r="AB41" i="2"/>
  <c r="AB43" i="2"/>
  <c r="AB45" i="2"/>
  <c r="AB47" i="2"/>
  <c r="AB49" i="2"/>
  <c r="AB51" i="2"/>
  <c r="AB42" i="2"/>
  <c r="AB44" i="2"/>
  <c r="AB46" i="2"/>
  <c r="AB48" i="2"/>
  <c r="AB50" i="2"/>
  <c r="AA41" i="2"/>
  <c r="AA43" i="2"/>
  <c r="AA45" i="2"/>
  <c r="AA47" i="2"/>
  <c r="AA49" i="2"/>
  <c r="AA51" i="2"/>
  <c r="AA42" i="2"/>
  <c r="AA44" i="2"/>
  <c r="AA46" i="2"/>
  <c r="AA48" i="2"/>
  <c r="AA50" i="2"/>
  <c r="Z41" i="2"/>
  <c r="Z43" i="2"/>
  <c r="Z45" i="2"/>
  <c r="Z47" i="2"/>
  <c r="Z49" i="2"/>
  <c r="Z51" i="2"/>
  <c r="Z42" i="2"/>
  <c r="Z44" i="2"/>
  <c r="Z46" i="2"/>
  <c r="Z48" i="2"/>
  <c r="Z50" i="2"/>
  <c r="Y41" i="2"/>
  <c r="Y43" i="2"/>
  <c r="Y45" i="2"/>
  <c r="Y47" i="2"/>
  <c r="Y49" i="2"/>
  <c r="Y51" i="2"/>
  <c r="Y42" i="2"/>
  <c r="Y44" i="2"/>
  <c r="Y46" i="2"/>
  <c r="Y48" i="2"/>
  <c r="Y50" i="2"/>
  <c r="X41" i="2"/>
  <c r="X43" i="2"/>
  <c r="X45" i="2"/>
  <c r="X47" i="2"/>
  <c r="X49" i="2"/>
  <c r="X51" i="2"/>
  <c r="X42" i="2"/>
  <c r="X44" i="2"/>
  <c r="X46" i="2"/>
  <c r="X48" i="2"/>
  <c r="X50" i="2"/>
  <c r="AB7" i="2"/>
  <c r="AB9" i="2"/>
  <c r="AB11" i="2"/>
  <c r="AB13" i="2"/>
  <c r="AB15" i="2"/>
  <c r="AB17" i="2"/>
  <c r="AB19" i="2"/>
  <c r="AB21" i="2"/>
  <c r="AB23" i="2"/>
  <c r="AB25" i="2"/>
  <c r="AB27" i="2"/>
  <c r="AB29" i="2"/>
  <c r="AB31" i="2"/>
  <c r="AB33" i="2"/>
  <c r="AB35" i="2"/>
  <c r="AB37" i="2"/>
  <c r="AB39" i="2"/>
  <c r="AB8" i="2"/>
  <c r="AB10" i="2"/>
  <c r="AB12" i="2"/>
  <c r="AB14" i="2"/>
  <c r="AB16" i="2"/>
  <c r="AB18" i="2"/>
  <c r="AB20" i="2"/>
  <c r="AB22" i="2"/>
  <c r="AB24" i="2"/>
  <c r="AB26" i="2"/>
  <c r="AB28" i="2"/>
  <c r="AB30" i="2"/>
  <c r="AB32" i="2"/>
  <c r="AB34" i="2"/>
  <c r="AB36" i="2"/>
  <c r="AB38" i="2"/>
  <c r="AB40" i="2"/>
  <c r="AA7" i="2"/>
  <c r="AA9" i="2"/>
  <c r="AA11" i="2"/>
  <c r="AA13" i="2"/>
  <c r="AA15" i="2"/>
  <c r="AA17" i="2"/>
  <c r="AA19" i="2"/>
  <c r="AA23" i="2"/>
  <c r="AA25" i="2"/>
  <c r="AA29" i="2"/>
  <c r="AA33" i="2"/>
  <c r="AA37" i="2"/>
  <c r="AA8" i="2"/>
  <c r="AA10" i="2"/>
  <c r="AA12" i="2"/>
  <c r="AA14" i="2"/>
  <c r="AA16" i="2"/>
  <c r="AA18" i="2"/>
  <c r="AA20" i="2"/>
  <c r="AA22" i="2"/>
  <c r="AA24" i="2"/>
  <c r="AA26" i="2"/>
  <c r="AA28" i="2"/>
  <c r="AA30" i="2"/>
  <c r="AA32" i="2"/>
  <c r="AA34" i="2"/>
  <c r="AA36" i="2"/>
  <c r="AA38" i="2"/>
  <c r="AA40" i="2"/>
  <c r="AA21" i="2"/>
  <c r="AA27" i="2"/>
  <c r="AA31" i="2"/>
  <c r="AA35" i="2"/>
  <c r="AA39" i="2"/>
  <c r="Z7" i="2"/>
  <c r="Z9" i="2"/>
  <c r="Z11" i="2"/>
  <c r="Z13" i="2"/>
  <c r="Z15" i="2"/>
  <c r="Z17" i="2"/>
  <c r="Z19" i="2"/>
  <c r="Z21" i="2"/>
  <c r="Z23" i="2"/>
  <c r="Z25" i="2"/>
  <c r="Z27" i="2"/>
  <c r="Z29" i="2"/>
  <c r="Z31" i="2"/>
  <c r="Z33" i="2"/>
  <c r="Z35" i="2"/>
  <c r="Z37" i="2"/>
  <c r="Z39" i="2"/>
  <c r="Z8" i="2"/>
  <c r="Z10" i="2"/>
  <c r="Z12" i="2"/>
  <c r="Z14" i="2"/>
  <c r="Z16" i="2"/>
  <c r="Z18" i="2"/>
  <c r="Z20" i="2"/>
  <c r="Z22" i="2"/>
  <c r="Z24" i="2"/>
  <c r="Z26" i="2"/>
  <c r="Z28" i="2"/>
  <c r="Z30" i="2"/>
  <c r="Z32" i="2"/>
  <c r="Z34" i="2"/>
  <c r="Z36" i="2"/>
  <c r="Z38" i="2"/>
  <c r="Z40" i="2"/>
  <c r="Y7" i="2"/>
  <c r="Y9" i="2"/>
  <c r="Y11" i="2"/>
  <c r="Y13" i="2"/>
  <c r="Y15" i="2"/>
  <c r="Y17" i="2"/>
  <c r="Y19" i="2"/>
  <c r="Y21" i="2"/>
  <c r="Y23" i="2"/>
  <c r="Y25" i="2"/>
  <c r="Y27" i="2"/>
  <c r="Y29" i="2"/>
  <c r="Y31" i="2"/>
  <c r="Y33" i="2"/>
  <c r="Y35" i="2"/>
  <c r="Y37" i="2"/>
  <c r="Y39" i="2"/>
  <c r="Y8" i="2"/>
  <c r="Y10" i="2"/>
  <c r="Y12" i="2"/>
  <c r="Y14" i="2"/>
  <c r="Y16" i="2"/>
  <c r="Y18" i="2"/>
  <c r="Y20" i="2"/>
  <c r="Y22" i="2"/>
  <c r="Y24" i="2"/>
  <c r="Y26" i="2"/>
  <c r="Y28" i="2"/>
  <c r="Y30" i="2"/>
  <c r="Y32" i="2"/>
  <c r="Y34" i="2"/>
  <c r="Y36" i="2"/>
  <c r="Y38" i="2"/>
  <c r="Y40" i="2"/>
  <c r="X7" i="2"/>
  <c r="AC7" i="2" s="1"/>
  <c r="AD7" i="2" s="1"/>
  <c r="AE7" i="2" s="1"/>
  <c r="X9" i="2"/>
  <c r="AC9" i="2" s="1"/>
  <c r="AD9" i="2" s="1"/>
  <c r="AE9" i="2" s="1"/>
  <c r="X11" i="2"/>
  <c r="AC11" i="2" s="1"/>
  <c r="AD11" i="2" s="1"/>
  <c r="AE11" i="2" s="1"/>
  <c r="X13" i="2"/>
  <c r="AC13" i="2" s="1"/>
  <c r="AD13" i="2" s="1"/>
  <c r="AE13" i="2" s="1"/>
  <c r="X15" i="2"/>
  <c r="AC15" i="2" s="1"/>
  <c r="AD15" i="2" s="1"/>
  <c r="AE15" i="2" s="1"/>
  <c r="X17" i="2"/>
  <c r="AC17" i="2" s="1"/>
  <c r="AD17" i="2" s="1"/>
  <c r="AE17" i="2" s="1"/>
  <c r="X19" i="2"/>
  <c r="AC19" i="2" s="1"/>
  <c r="AD19" i="2" s="1"/>
  <c r="AE19" i="2" s="1"/>
  <c r="X21" i="2"/>
  <c r="AC21" i="2" s="1"/>
  <c r="AD21" i="2" s="1"/>
  <c r="AE21" i="2" s="1"/>
  <c r="X23" i="2"/>
  <c r="AC23" i="2" s="1"/>
  <c r="AD23" i="2" s="1"/>
  <c r="AE23" i="2" s="1"/>
  <c r="X25" i="2"/>
  <c r="AC25" i="2" s="1"/>
  <c r="AD25" i="2" s="1"/>
  <c r="AE25" i="2" s="1"/>
  <c r="X27" i="2"/>
  <c r="AC27" i="2" s="1"/>
  <c r="AD27" i="2" s="1"/>
  <c r="AE27" i="2" s="1"/>
  <c r="X29" i="2"/>
  <c r="AC29" i="2" s="1"/>
  <c r="AD29" i="2" s="1"/>
  <c r="AE29" i="2" s="1"/>
  <c r="X31" i="2"/>
  <c r="AC31" i="2" s="1"/>
  <c r="AD31" i="2" s="1"/>
  <c r="AE31" i="2" s="1"/>
  <c r="X33" i="2"/>
  <c r="AC33" i="2" s="1"/>
  <c r="AD33" i="2" s="1"/>
  <c r="AE33" i="2" s="1"/>
  <c r="X35" i="2"/>
  <c r="AC35" i="2" s="1"/>
  <c r="AD35" i="2" s="1"/>
  <c r="AE35" i="2" s="1"/>
  <c r="X37" i="2"/>
  <c r="AC37" i="2" s="1"/>
  <c r="AD37" i="2" s="1"/>
  <c r="AE37" i="2" s="1"/>
  <c r="X39" i="2"/>
  <c r="AC39" i="2" s="1"/>
  <c r="AD39" i="2" s="1"/>
  <c r="AE39" i="2" s="1"/>
  <c r="X10" i="2"/>
  <c r="AC10" i="2" s="1"/>
  <c r="AD10" i="2" s="1"/>
  <c r="AE10" i="2" s="1"/>
  <c r="X12" i="2"/>
  <c r="AC12" i="2" s="1"/>
  <c r="AD12" i="2" s="1"/>
  <c r="AE12" i="2" s="1"/>
  <c r="X14" i="2"/>
  <c r="AC14" i="2" s="1"/>
  <c r="AD14" i="2" s="1"/>
  <c r="AE14" i="2" s="1"/>
  <c r="X16" i="2"/>
  <c r="AC16" i="2" s="1"/>
  <c r="AD16" i="2" s="1"/>
  <c r="AE16" i="2" s="1"/>
  <c r="X18" i="2"/>
  <c r="AC18" i="2" s="1"/>
  <c r="AD18" i="2" s="1"/>
  <c r="AE18" i="2" s="1"/>
  <c r="X20" i="2"/>
  <c r="AC20" i="2" s="1"/>
  <c r="AD20" i="2" s="1"/>
  <c r="AE20" i="2" s="1"/>
  <c r="X22" i="2"/>
  <c r="AC22" i="2" s="1"/>
  <c r="AD22" i="2" s="1"/>
  <c r="AE22" i="2" s="1"/>
  <c r="X24" i="2"/>
  <c r="AC24" i="2" s="1"/>
  <c r="AD24" i="2" s="1"/>
  <c r="AE24" i="2" s="1"/>
  <c r="X26" i="2"/>
  <c r="AC26" i="2" s="1"/>
  <c r="AD26" i="2" s="1"/>
  <c r="AE26" i="2" s="1"/>
  <c r="X28" i="2"/>
  <c r="AC28" i="2" s="1"/>
  <c r="AD28" i="2" s="1"/>
  <c r="AE28" i="2" s="1"/>
  <c r="X30" i="2"/>
  <c r="AC30" i="2" s="1"/>
  <c r="AD30" i="2" s="1"/>
  <c r="AE30" i="2" s="1"/>
  <c r="X32" i="2"/>
  <c r="AC32" i="2" s="1"/>
  <c r="AD32" i="2" s="1"/>
  <c r="AE32" i="2" s="1"/>
  <c r="X34" i="2"/>
  <c r="AC34" i="2" s="1"/>
  <c r="AD34" i="2" s="1"/>
  <c r="AE34" i="2" s="1"/>
  <c r="X36" i="2"/>
  <c r="AC36" i="2" s="1"/>
  <c r="AD36" i="2" s="1"/>
  <c r="AE36" i="2" s="1"/>
  <c r="X38" i="2"/>
  <c r="AC38" i="2" s="1"/>
  <c r="AD38" i="2" s="1"/>
  <c r="AE38" i="2" s="1"/>
  <c r="X40" i="2"/>
  <c r="AC40" i="2" s="1"/>
  <c r="AD40" i="2" s="1"/>
  <c r="AE40" i="2" s="1"/>
  <c r="X8" i="2"/>
  <c r="AC8" i="2" s="1"/>
  <c r="AD8" i="2" s="1"/>
  <c r="AE8" i="2" s="1"/>
  <c r="Y4" i="2"/>
  <c r="Y6" i="2"/>
  <c r="Y5" i="2"/>
  <c r="AB3" i="2"/>
  <c r="AB5" i="2"/>
  <c r="AB4" i="2"/>
  <c r="AB6" i="2"/>
  <c r="AB2" i="2"/>
  <c r="AA3" i="2"/>
  <c r="AA5" i="2"/>
  <c r="AA4" i="2"/>
  <c r="AA6" i="2"/>
  <c r="AA2" i="2"/>
  <c r="Z3" i="2"/>
  <c r="Z5" i="2"/>
  <c r="Z4" i="2"/>
  <c r="Z6" i="2"/>
  <c r="Z2" i="2"/>
  <c r="Y3" i="2"/>
  <c r="Y2" i="2"/>
  <c r="X3" i="2"/>
  <c r="AC3" i="2" s="1"/>
  <c r="AD3" i="2" s="1"/>
  <c r="AE3" i="2" s="1"/>
  <c r="X5" i="2"/>
  <c r="AC5" i="2" s="1"/>
  <c r="AD5" i="2" s="1"/>
  <c r="AE5" i="2" s="1"/>
  <c r="X4" i="2"/>
  <c r="AC4" i="2" s="1"/>
  <c r="AD4" i="2" s="1"/>
  <c r="AE4" i="2" s="1"/>
  <c r="X6" i="2"/>
  <c r="AC6" i="2" s="1"/>
  <c r="AD6" i="2" s="1"/>
  <c r="AE6" i="2" s="1"/>
  <c r="X2" i="2"/>
  <c r="AC2" i="2" s="1"/>
  <c r="AD2" i="2" s="1"/>
  <c r="AE2" i="2" s="1"/>
</calcChain>
</file>

<file path=xl/sharedStrings.xml><?xml version="1.0" encoding="utf-8"?>
<sst xmlns="http://schemas.openxmlformats.org/spreadsheetml/2006/main" count="484" uniqueCount="299">
  <si>
    <t>N°</t>
  </si>
  <si>
    <t>Matricule</t>
  </si>
  <si>
    <t>Prenom</t>
  </si>
  <si>
    <t>Nom</t>
  </si>
  <si>
    <t>date_naissance</t>
  </si>
  <si>
    <t>Lieu_naissance</t>
  </si>
  <si>
    <t>Sexe</t>
  </si>
  <si>
    <t>Catégorie</t>
  </si>
  <si>
    <t>Etat_civil</t>
  </si>
  <si>
    <t>Nbre_epouse</t>
  </si>
  <si>
    <t>Nbre_enfants</t>
  </si>
  <si>
    <t>sursalaire</t>
  </si>
  <si>
    <t>H_supp_15</t>
  </si>
  <si>
    <t>H_supp_40</t>
  </si>
  <si>
    <t>H_supp_60</t>
  </si>
  <si>
    <t>H_supp_100</t>
  </si>
  <si>
    <t>Prime</t>
  </si>
  <si>
    <t>Avantages</t>
  </si>
  <si>
    <t>Indemnité</t>
  </si>
  <si>
    <t>IPM</t>
  </si>
  <si>
    <t>Avance_Accompte</t>
  </si>
  <si>
    <t>Opposition</t>
  </si>
  <si>
    <t>A</t>
  </si>
  <si>
    <t>B</t>
  </si>
  <si>
    <t>C</t>
  </si>
  <si>
    <t>F</t>
  </si>
  <si>
    <t>M</t>
  </si>
  <si>
    <t>salaire de base</t>
  </si>
  <si>
    <t>Marié</t>
  </si>
  <si>
    <t>Célibataire</t>
  </si>
  <si>
    <t>faye</t>
  </si>
  <si>
    <t>THIES</t>
  </si>
  <si>
    <t>BIENVENU A L'APPLICATION DE LA GESTION DE PAIE</t>
  </si>
  <si>
    <t>1231-BA/B</t>
  </si>
  <si>
    <t>ADAMA</t>
  </si>
  <si>
    <t>BA</t>
  </si>
  <si>
    <t>DAKAR</t>
  </si>
  <si>
    <t>1232-BAMPASSY/B</t>
  </si>
  <si>
    <t>ALEX</t>
  </si>
  <si>
    <t>BAMPASSY</t>
  </si>
  <si>
    <t>26/10/1975</t>
  </si>
  <si>
    <t>TAMBA</t>
  </si>
  <si>
    <t>1233-BEYE/B</t>
  </si>
  <si>
    <t>ALA</t>
  </si>
  <si>
    <t>BEYE</t>
  </si>
  <si>
    <t>17/10/1982</t>
  </si>
  <si>
    <t>GOUDIRY</t>
  </si>
  <si>
    <t>1234-BOYE/C</t>
  </si>
  <si>
    <t>MEDOUNE</t>
  </si>
  <si>
    <t>BOYE</t>
  </si>
  <si>
    <t>22/02/1980</t>
  </si>
  <si>
    <t>FATICK</t>
  </si>
  <si>
    <t>1235-CISSE/C</t>
  </si>
  <si>
    <t>LAHAT</t>
  </si>
  <si>
    <t>CISSE</t>
  </si>
  <si>
    <t>17/04/1983</t>
  </si>
  <si>
    <t>GUEDIAWAYE</t>
  </si>
  <si>
    <t>SALAIRE_BASE</t>
  </si>
  <si>
    <t>Hsup15</t>
  </si>
  <si>
    <t>Hsup40</t>
  </si>
  <si>
    <t>Hsup60</t>
  </si>
  <si>
    <t>Hsup100</t>
  </si>
  <si>
    <t>salaire brut social</t>
  </si>
  <si>
    <t>salaire brut fiscal</t>
  </si>
  <si>
    <t>regime general</t>
  </si>
  <si>
    <t>regime cadre</t>
  </si>
  <si>
    <t>BULLETIN DE SALAIRE</t>
  </si>
  <si>
    <t>Matricule:</t>
  </si>
  <si>
    <t>hsup15</t>
  </si>
  <si>
    <t>hsup40</t>
  </si>
  <si>
    <t>hsup60</t>
  </si>
  <si>
    <t>hsup100</t>
  </si>
  <si>
    <t>indemnité</t>
  </si>
  <si>
    <t>Salaire brut social</t>
  </si>
  <si>
    <t>avantage</t>
  </si>
  <si>
    <t>Salaire brut fiscal</t>
  </si>
  <si>
    <t>Regime general</t>
  </si>
  <si>
    <t>Regime cadre</t>
  </si>
  <si>
    <t>TRIMF</t>
  </si>
  <si>
    <t>IR</t>
  </si>
  <si>
    <t>Acompte et Avances</t>
  </si>
  <si>
    <t>Prime non imposable</t>
  </si>
  <si>
    <t>Retenues</t>
  </si>
  <si>
    <t>Total des retenues</t>
  </si>
  <si>
    <t>Salaire NET</t>
  </si>
  <si>
    <t>Prime imposable</t>
  </si>
  <si>
    <t>NETà payer</t>
  </si>
  <si>
    <t>Salaire de base : 156.000</t>
  </si>
  <si>
    <t>- Sursalaire : 52.000</t>
  </si>
  <si>
    <t xml:space="preserve">Prime imposable </t>
  </si>
  <si>
    <t xml:space="preserve">Prime non imposable </t>
  </si>
  <si>
    <t>hsupp15</t>
  </si>
  <si>
    <t>hsupp40</t>
  </si>
  <si>
    <t>taux horaire</t>
  </si>
  <si>
    <t>FAYE</t>
  </si>
  <si>
    <t>HABIB</t>
  </si>
  <si>
    <t>MATY SEYE</t>
  </si>
  <si>
    <t>Regime</t>
  </si>
  <si>
    <t>AGE</t>
  </si>
  <si>
    <t>Date et lieu de naissance</t>
  </si>
  <si>
    <t>Etat civil</t>
  </si>
  <si>
    <t>Nombre d'enfants</t>
  </si>
  <si>
    <t>Employé</t>
  </si>
  <si>
    <t>SBS</t>
  </si>
  <si>
    <t>RG</t>
  </si>
  <si>
    <t>RC</t>
  </si>
  <si>
    <t>Avance acompte</t>
  </si>
  <si>
    <t>retenues</t>
  </si>
  <si>
    <t>ind</t>
  </si>
  <si>
    <t>Salaire_net</t>
  </si>
  <si>
    <t>LIVRE DE PAIE</t>
  </si>
  <si>
    <t>FARY</t>
  </si>
  <si>
    <t>DEME</t>
  </si>
  <si>
    <t>10/101979</t>
  </si>
  <si>
    <t>RANEROU</t>
  </si>
  <si>
    <t>4567-DIAGNE/A</t>
  </si>
  <si>
    <t>MBOMBE</t>
  </si>
  <si>
    <t>DIAGNE</t>
  </si>
  <si>
    <t>31/01/1982</t>
  </si>
  <si>
    <t>PIKINE</t>
  </si>
  <si>
    <t>4568-DIALLO/A</t>
  </si>
  <si>
    <t>YACINE</t>
  </si>
  <si>
    <t>DIALLO</t>
  </si>
  <si>
    <t>17/10/1975</t>
  </si>
  <si>
    <t>1239-DIALLO/A</t>
  </si>
  <si>
    <t>ALIOUNE NDIAYE</t>
  </si>
  <si>
    <t>12310-DIAME/A</t>
  </si>
  <si>
    <t>KARIM ABDEL</t>
  </si>
  <si>
    <t>DIAME</t>
  </si>
  <si>
    <t>BANJUL</t>
  </si>
  <si>
    <t>45611-DIAO/B</t>
  </si>
  <si>
    <t>AISSATOU SECK</t>
  </si>
  <si>
    <t>DIAO</t>
  </si>
  <si>
    <t>26/08/1977</t>
  </si>
  <si>
    <t>ZIGUINCHOR</t>
  </si>
  <si>
    <t>12312-DIATTA/B</t>
  </si>
  <si>
    <t>LEON</t>
  </si>
  <si>
    <t>DIATTA</t>
  </si>
  <si>
    <t>19/07/1979</t>
  </si>
  <si>
    <t>OUSSOUYE</t>
  </si>
  <si>
    <t>45613-DIAW/B</t>
  </si>
  <si>
    <t>AWA</t>
  </si>
  <si>
    <t>DIAW</t>
  </si>
  <si>
    <t>30/09/1982</t>
  </si>
  <si>
    <t>DIOUREBEL</t>
  </si>
  <si>
    <t>12314-DIOP/C</t>
  </si>
  <si>
    <t>DIOP</t>
  </si>
  <si>
    <t>17/09/1985</t>
  </si>
  <si>
    <t>BAMBEY</t>
  </si>
  <si>
    <t>12315-DIOP/C</t>
  </si>
  <si>
    <t>BABACAR</t>
  </si>
  <si>
    <t>19/03/1984</t>
  </si>
  <si>
    <t>12316-DIOUF/C</t>
  </si>
  <si>
    <t>MODOU</t>
  </si>
  <si>
    <t>DIOUF</t>
  </si>
  <si>
    <t>14/04/1978</t>
  </si>
  <si>
    <t>KAFFRINE</t>
  </si>
  <si>
    <t>12317-DIOUF/C</t>
  </si>
  <si>
    <t>HENRY</t>
  </si>
  <si>
    <t>27/01/1977</t>
  </si>
  <si>
    <t>LOMPOUL</t>
  </si>
  <si>
    <t>12318-DIOUM/A</t>
  </si>
  <si>
    <t>ASSANE</t>
  </si>
  <si>
    <t>DIOUM</t>
  </si>
  <si>
    <t>16/05/1982</t>
  </si>
  <si>
    <t>MBOUR</t>
  </si>
  <si>
    <t>12319-FALL/C</t>
  </si>
  <si>
    <t>SENGANE</t>
  </si>
  <si>
    <t>FALL</t>
  </si>
  <si>
    <t>31/10/1984</t>
  </si>
  <si>
    <t>JOAL</t>
  </si>
  <si>
    <t>12320-FALL/B</t>
  </si>
  <si>
    <t>LAMINE</t>
  </si>
  <si>
    <t>28/11/1977</t>
  </si>
  <si>
    <t>YOFF</t>
  </si>
  <si>
    <t>1236-DEME/C</t>
  </si>
  <si>
    <t>12321-FAYE/B</t>
  </si>
  <si>
    <t xml:space="preserve">MOUHAMED </t>
  </si>
  <si>
    <t>RUFISQUE</t>
  </si>
  <si>
    <t>45622-FAYE/B</t>
  </si>
  <si>
    <t>NDIAYA</t>
  </si>
  <si>
    <t>SAINT LOUIS</t>
  </si>
  <si>
    <t>12323-GNING/C</t>
  </si>
  <si>
    <t>DAME</t>
  </si>
  <si>
    <t>GNING</t>
  </si>
  <si>
    <t>TOUBA</t>
  </si>
  <si>
    <t>12324-GUEYE/C</t>
  </si>
  <si>
    <t>BOUBA</t>
  </si>
  <si>
    <t>GUEYE</t>
  </si>
  <si>
    <t>27/10/1979</t>
  </si>
  <si>
    <t>SEDHIOU</t>
  </si>
  <si>
    <t>45625-GUEYE/C</t>
  </si>
  <si>
    <t>KINE</t>
  </si>
  <si>
    <t>AERE LAO</t>
  </si>
  <si>
    <t>12326-KANDJI/C</t>
  </si>
  <si>
    <t>MADIOP</t>
  </si>
  <si>
    <t>KANDJI</t>
  </si>
  <si>
    <t>27/07/1985</t>
  </si>
  <si>
    <t>KEDOUGOU</t>
  </si>
  <si>
    <t>12327-KARE/A</t>
  </si>
  <si>
    <t xml:space="preserve">MODOU </t>
  </si>
  <si>
    <t>KARE</t>
  </si>
  <si>
    <t>18/11/1985</t>
  </si>
  <si>
    <t>BAKEL</t>
  </si>
  <si>
    <t>12328-KEBE/B</t>
  </si>
  <si>
    <t>THOMAS</t>
  </si>
  <si>
    <t>KEBE</t>
  </si>
  <si>
    <t>LOUGA</t>
  </si>
  <si>
    <t>45629-LAM/A</t>
  </si>
  <si>
    <t>AMY</t>
  </si>
  <si>
    <t>LAM</t>
  </si>
  <si>
    <t>TIVAOUNE</t>
  </si>
  <si>
    <t>12330-LO/A</t>
  </si>
  <si>
    <t xml:space="preserve">MOUSTAPHA DIOP </t>
  </si>
  <si>
    <t>LO</t>
  </si>
  <si>
    <t>21/12/1978</t>
  </si>
  <si>
    <t>LINGUERE</t>
  </si>
  <si>
    <t>12331-LY/A</t>
  </si>
  <si>
    <t>ABDOULAYE MASSECK</t>
  </si>
  <si>
    <t>LY</t>
  </si>
  <si>
    <t>LAMBAYE</t>
  </si>
  <si>
    <t>12332-MBAYE/B</t>
  </si>
  <si>
    <t xml:space="preserve">ABDOU </t>
  </si>
  <si>
    <t>MBAYE</t>
  </si>
  <si>
    <t>KOLDA</t>
  </si>
  <si>
    <t>12333-MBENGUE/B</t>
  </si>
  <si>
    <t>KARIM</t>
  </si>
  <si>
    <t xml:space="preserve"> MBENGUE</t>
  </si>
  <si>
    <t>KAOLACK</t>
  </si>
  <si>
    <t>45634-NDIAYE/B</t>
  </si>
  <si>
    <t xml:space="preserve">FATIM </t>
  </si>
  <si>
    <t>NDIAYE</t>
  </si>
  <si>
    <t>VELINGARA</t>
  </si>
  <si>
    <t>12335-NGOM/B</t>
  </si>
  <si>
    <t>YOUSSOU</t>
  </si>
  <si>
    <t>NGOM</t>
  </si>
  <si>
    <t>16/08/1982</t>
  </si>
  <si>
    <t>OUAKAM</t>
  </si>
  <si>
    <t>12336-PREIRA/B</t>
  </si>
  <si>
    <t>FRANCOIS</t>
  </si>
  <si>
    <t>PREIRA</t>
  </si>
  <si>
    <t>20/06/1977</t>
  </si>
  <si>
    <t>PARIS</t>
  </si>
  <si>
    <t>12337-SAGNA/C</t>
  </si>
  <si>
    <t>SAGNA</t>
  </si>
  <si>
    <t>12338-SAGNA/A</t>
  </si>
  <si>
    <t>FREDERIC</t>
  </si>
  <si>
    <t>24/03/1976</t>
  </si>
  <si>
    <t>45639-SAMB/C</t>
  </si>
  <si>
    <t>ALIMATOU</t>
  </si>
  <si>
    <t>SAMB</t>
  </si>
  <si>
    <t>19/10/1976</t>
  </si>
  <si>
    <t>45640-SAMB/C</t>
  </si>
  <si>
    <t>DIARRY</t>
  </si>
  <si>
    <t>16/05/1981</t>
  </si>
  <si>
    <t>12341-SARR/A</t>
  </si>
  <si>
    <t>OMAR</t>
  </si>
  <si>
    <t>SARR</t>
  </si>
  <si>
    <t>29/08/1977</t>
  </si>
  <si>
    <t>12342-SECK/C</t>
  </si>
  <si>
    <t>MAURY</t>
  </si>
  <si>
    <t>SECK</t>
  </si>
  <si>
    <t>19/04/1977</t>
  </si>
  <si>
    <t>12343-SENE/C</t>
  </si>
  <si>
    <t>IBRAHIMA</t>
  </si>
  <si>
    <t>SENE</t>
  </si>
  <si>
    <t>18/06/1976</t>
  </si>
  <si>
    <t>MBACKE</t>
  </si>
  <si>
    <t>12344-SEYE/B</t>
  </si>
  <si>
    <t>MOUSSA</t>
  </si>
  <si>
    <t>SEYE</t>
  </si>
  <si>
    <t>45645-SOW/B</t>
  </si>
  <si>
    <t>KHADY</t>
  </si>
  <si>
    <t>SOW</t>
  </si>
  <si>
    <t>23/03/1984</t>
  </si>
  <si>
    <t>CAS CAS</t>
  </si>
  <si>
    <t>12346-SY/B</t>
  </si>
  <si>
    <t xml:space="preserve">ALPHA </t>
  </si>
  <si>
    <t>SY</t>
  </si>
  <si>
    <t>29/11/1984</t>
  </si>
  <si>
    <t>12347-TALL/B</t>
  </si>
  <si>
    <t>MOUSTAPHA</t>
  </si>
  <si>
    <t>TALL</t>
  </si>
  <si>
    <t>19/07/1976</t>
  </si>
  <si>
    <t>45648-TALL/B</t>
  </si>
  <si>
    <t>NDEYE</t>
  </si>
  <si>
    <t>29/07/1985</t>
  </si>
  <si>
    <t>12349-TAVARESE/B</t>
  </si>
  <si>
    <t>PHILIPE MODOU</t>
  </si>
  <si>
    <t>TAVARESE</t>
  </si>
  <si>
    <t>23/04/1985</t>
  </si>
  <si>
    <t>12350-THIAM/B</t>
  </si>
  <si>
    <t>KHADIM</t>
  </si>
  <si>
    <t>THIAM</t>
  </si>
  <si>
    <t>21/12/1981</t>
  </si>
  <si>
    <t>Nbre_part</t>
  </si>
  <si>
    <t>Revenu Salariale</t>
  </si>
  <si>
    <t>ADAMA BA</t>
  </si>
  <si>
    <t>habib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</si>
</sst>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 Black"/>
      <family val="2"/>
    </font>
    <font>
      <b/>
      <sz val="14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4"/>
      <color rgb="FF00008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theme="4" tint="-0.24994659260841701"/>
      </left>
      <right style="thick">
        <color theme="4" tint="-0.24994659260841701"/>
      </right>
      <top style="thick">
        <color theme="4" tint="-0.24994659260841701"/>
      </top>
      <bottom style="thick">
        <color theme="4" tint="-0.2499465926084170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2" fillId="2" borderId="0" applyNumberFormat="0" applyBorder="0" applyAlignment="0" applyProtection="0"/>
  </cellStyleXfs>
  <cellXfs count="37">
    <xf numFmtId="0" fontId="0" fillId="0" borderId="0" xfId="0"/>
    <xf numFmtId="14" fontId="0" fillId="0" borderId="0" xfId="0" applyNumberFormat="1"/>
    <xf numFmtId="0" fontId="2" fillId="2" borderId="0" xfId="2"/>
    <xf numFmtId="0" fontId="1" fillId="2" borderId="0" xfId="1" applyFill="1"/>
    <xf numFmtId="0" fontId="0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4" fillId="0" borderId="4" xfId="0" applyFont="1" applyBorder="1" applyAlignment="1"/>
    <xf numFmtId="0" fontId="7" fillId="0" borderId="4" xfId="0" applyFont="1" applyBorder="1"/>
    <xf numFmtId="0" fontId="7" fillId="0" borderId="4" xfId="0" applyFont="1" applyBorder="1" applyAlignment="1"/>
    <xf numFmtId="0" fontId="3" fillId="0" borderId="0" xfId="0" applyFont="1"/>
    <xf numFmtId="0" fontId="8" fillId="0" borderId="4" xfId="0" applyFont="1" applyBorder="1" applyAlignment="1"/>
    <xf numFmtId="0" fontId="8" fillId="0" borderId="4" xfId="0" applyFont="1" applyBorder="1"/>
    <xf numFmtId="0" fontId="7" fillId="0" borderId="5" xfId="0" applyFont="1" applyBorder="1"/>
    <xf numFmtId="0" fontId="0" fillId="0" borderId="5" xfId="0" applyBorder="1"/>
    <xf numFmtId="0" fontId="4" fillId="0" borderId="1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4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0" fillId="0" borderId="5" xfId="0" applyBorder="1" applyAlignment="1">
      <alignment horizontal="center"/>
    </xf>
  </cellXfs>
  <cellStyles count="3">
    <cellStyle name="60 % - Accent6" xfId="2" builtinId="52"/>
    <cellStyle name="Normal" xfId="0" builtinId="0"/>
    <cellStyle name="Titre" xfId="1" builtinId="15"/>
  </cellStyles>
  <dxfs count="1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7</xdr:row>
          <xdr:rowOff>47625</xdr:rowOff>
        </xdr:from>
        <xdr:to>
          <xdr:col>6</xdr:col>
          <xdr:colOff>581025</xdr:colOff>
          <xdr:row>12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1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Panneau de saisie 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4" name="Tableau4" displayName="Tableau4" ref="A1:V51" totalsRowShown="0">
  <autoFilter ref="A1:V51"/>
  <tableColumns count="22">
    <tableColumn id="1" name="N°"/>
    <tableColumn id="2" name="Matricule"/>
    <tableColumn id="3" name="Prenom"/>
    <tableColumn id="4" name="Nom"/>
    <tableColumn id="5" name="date_naissance"/>
    <tableColumn id="6" name="Lieu_naissance"/>
    <tableColumn id="7" name="Sexe" dataDxfId="14"/>
    <tableColumn id="9" name="Catégorie" dataDxfId="13"/>
    <tableColumn id="10" name="Etat_civil"/>
    <tableColumn id="11" name="Nbre_epouse" dataDxfId="12"/>
    <tableColumn id="12" name="Nbre_enfants" dataDxfId="11"/>
    <tableColumn id="13" name="sursalaire" dataDxfId="10"/>
    <tableColumn id="14" name="H_supp_15" dataDxfId="9"/>
    <tableColumn id="15" name="H_supp_40" dataDxfId="8"/>
    <tableColumn id="16" name="H_supp_60" dataDxfId="7"/>
    <tableColumn id="17" name="H_supp_100" dataDxfId="6"/>
    <tableColumn id="18" name="Prime" dataDxfId="5"/>
    <tableColumn id="19" name="Avantages" dataDxfId="4"/>
    <tableColumn id="20" name="Indemnité" dataDxfId="3"/>
    <tableColumn id="21" name="IPM" dataDxfId="2"/>
    <tableColumn id="22" name="Avance_Accompte" dataDxfId="1"/>
    <tableColumn id="23" name="Opposition" dataDxfId="0"/>
  </tableColumns>
  <tableStyleInfo name="TableStyleLight10" showFirstColumn="0" showLastColumn="0" showRowStripes="0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C3:S22"/>
  <sheetViews>
    <sheetView showGridLines="0" topLeftCell="A2" workbookViewId="0">
      <selection activeCell="I12" sqref="I12"/>
    </sheetView>
  </sheetViews>
  <sheetFormatPr baseColWidth="10" defaultColWidth="9.140625" defaultRowHeight="15" x14ac:dyDescent="0.25"/>
  <sheetData>
    <row r="3" spans="3:19" x14ac:dyDescent="0.25"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3:19" ht="22.5" x14ac:dyDescent="0.3">
      <c r="C4" s="2"/>
      <c r="D4" s="2"/>
      <c r="E4" s="2"/>
      <c r="F4" s="2"/>
      <c r="G4" s="3" t="s">
        <v>32</v>
      </c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3:19" x14ac:dyDescent="0.25"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3:19" x14ac:dyDescent="0.25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3:19" x14ac:dyDescent="0.25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3:19" x14ac:dyDescent="0.25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3:19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3:19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3:19" x14ac:dyDescent="0.25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3:19" x14ac:dyDescent="0.2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3:19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3:19" x14ac:dyDescent="0.2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3:19" x14ac:dyDescent="0.2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3:19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3:19" x14ac:dyDescent="0.2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3:19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3:19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3:19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</row>
    <row r="21" spans="3:19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</row>
    <row r="22" spans="3:19" x14ac:dyDescent="0.25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outon1_Cliquer">
                <anchor moveWithCells="1" sizeWithCells="1">
                  <from>
                    <xdr:col>3</xdr:col>
                    <xdr:colOff>314325</xdr:colOff>
                    <xdr:row>7</xdr:row>
                    <xdr:rowOff>47625</xdr:rowOff>
                  </from>
                  <to>
                    <xdr:col>6</xdr:col>
                    <xdr:colOff>581025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H51"/>
  <sheetViews>
    <sheetView zoomScale="95" zoomScaleNormal="95" workbookViewId="0">
      <selection activeCell="B20" sqref="B20"/>
    </sheetView>
  </sheetViews>
  <sheetFormatPr baseColWidth="10" defaultRowHeight="15" x14ac:dyDescent="0.25"/>
  <cols>
    <col min="1" max="1" width="5.42578125" customWidth="1"/>
    <col min="2" max="2" width="18.42578125" customWidth="1"/>
    <col min="3" max="3" width="21.5703125" customWidth="1"/>
    <col min="4" max="4" width="11.42578125" customWidth="1"/>
    <col min="5" max="5" width="19.42578125" customWidth="1"/>
    <col min="6" max="6" width="17.42578125" customWidth="1"/>
    <col min="7" max="7" width="10.85546875" style="5" customWidth="1"/>
    <col min="8" max="8" width="10.7109375" style="5" customWidth="1"/>
    <col min="9" max="9" width="11.7109375" customWidth="1"/>
    <col min="10" max="10" width="12.140625" customWidth="1"/>
    <col min="11" max="11" width="12.7109375" style="5" customWidth="1"/>
    <col min="12" max="12" width="11.28515625" style="5" customWidth="1"/>
    <col min="13" max="13" width="8.85546875" style="5" customWidth="1"/>
    <col min="14" max="15" width="12.7109375" style="5" customWidth="1"/>
    <col min="16" max="16" width="11.7109375" style="5" customWidth="1"/>
    <col min="17" max="17" width="10.85546875" style="5" customWidth="1"/>
    <col min="18" max="18" width="8.5703125" style="5" customWidth="1"/>
    <col min="19" max="19" width="12.28515625" style="5" customWidth="1"/>
    <col min="20" max="20" width="9.42578125" style="5" customWidth="1"/>
    <col min="21" max="21" width="14" style="5" customWidth="1"/>
    <col min="22" max="22" width="12.42578125" style="5" customWidth="1"/>
    <col min="23" max="23" width="11.5703125" customWidth="1"/>
    <col min="24" max="24" width="18.28515625" customWidth="1"/>
    <col min="29" max="29" width="15.85546875" customWidth="1"/>
    <col min="30" max="30" width="15.5703125" customWidth="1"/>
    <col min="31" max="31" width="13.85546875" customWidth="1"/>
    <col min="32" max="32" width="12.140625" customWidth="1"/>
  </cols>
  <sheetData>
    <row r="1" spans="1:3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5" t="s">
        <v>6</v>
      </c>
      <c r="H1" s="5" t="s">
        <v>7</v>
      </c>
      <c r="I1" t="s">
        <v>8</v>
      </c>
      <c r="J1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5" t="s">
        <v>14</v>
      </c>
      <c r="P1" s="5" t="s">
        <v>15</v>
      </c>
      <c r="Q1" s="5" t="s">
        <v>16</v>
      </c>
      <c r="R1" s="5" t="s">
        <v>17</v>
      </c>
      <c r="S1" s="5" t="s">
        <v>18</v>
      </c>
      <c r="T1" s="5" t="s">
        <v>19</v>
      </c>
      <c r="U1" s="5" t="s">
        <v>20</v>
      </c>
      <c r="V1" s="5" t="s">
        <v>21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295</v>
      </c>
      <c r="AH1" t="s">
        <v>296</v>
      </c>
    </row>
    <row r="2" spans="1:34" x14ac:dyDescent="0.25">
      <c r="A2">
        <v>1</v>
      </c>
      <c r="B2" t="s">
        <v>33</v>
      </c>
      <c r="C2" t="s">
        <v>34</v>
      </c>
      <c r="D2" t="s">
        <v>35</v>
      </c>
      <c r="E2" s="1">
        <v>30568</v>
      </c>
      <c r="F2" t="s">
        <v>36</v>
      </c>
      <c r="G2" s="5" t="s">
        <v>26</v>
      </c>
      <c r="H2" s="5" t="s">
        <v>23</v>
      </c>
      <c r="I2" t="s">
        <v>28</v>
      </c>
      <c r="J2" s="5">
        <v>1</v>
      </c>
      <c r="K2" s="5">
        <v>3</v>
      </c>
      <c r="P2" s="5">
        <v>4</v>
      </c>
      <c r="S2" s="5">
        <v>17500</v>
      </c>
      <c r="T2" s="5">
        <v>4500</v>
      </c>
      <c r="U2" s="5">
        <v>25000</v>
      </c>
      <c r="X2">
        <f>salaire_base(Tableau4[[#This Row],[Catégorie]])</f>
        <v>350126.60000000003</v>
      </c>
      <c r="Y2">
        <f>Heure_Supp15(Tableau4[[#This Row],[Catégorie]],Tableau4[[#This Row],[H_supp_15]])</f>
        <v>0</v>
      </c>
      <c r="Z2">
        <f>Heure_Supp40(Tableau4[[#This Row],[Catégorie]],Tableau4[[#This Row],[H_supp_40]])</f>
        <v>0</v>
      </c>
      <c r="AA2">
        <f>Heure_Supp60(Tableau4[[#This Row],[Catégorie]],Tableau4[[#This Row],[H_supp_60]])</f>
        <v>0</v>
      </c>
      <c r="AB2">
        <f>Heure_Supp100(Tableau4[[#This Row],[Catégorie]],Tableau4[[#This Row],[H_supp_100]])</f>
        <v>16160</v>
      </c>
      <c r="AC2">
        <f>salaire_brut_social(X2,Y2,Z2,AA2,AB2,Tableau4[[#This Row],[sursalaire]],Tableau4[[#This Row],[Prime]],Tableau4[[#This Row],[Indemnité]])</f>
        <v>383786.60000000003</v>
      </c>
      <c r="AD2">
        <f>salaire_brut_fiscal(AC2,Tableau4[[#This Row],[Avantages]])</f>
        <v>383786.60000000003</v>
      </c>
      <c r="AE2">
        <f>regime_general(AD2)</f>
        <v>20160</v>
      </c>
    </row>
    <row r="3" spans="1:34" x14ac:dyDescent="0.25">
      <c r="A3">
        <v>2</v>
      </c>
      <c r="B3" t="s">
        <v>37</v>
      </c>
      <c r="C3" t="s">
        <v>38</v>
      </c>
      <c r="D3" t="s">
        <v>39</v>
      </c>
      <c r="E3" t="s">
        <v>40</v>
      </c>
      <c r="F3" t="s">
        <v>41</v>
      </c>
      <c r="G3" s="5" t="s">
        <v>26</v>
      </c>
      <c r="H3" s="5" t="s">
        <v>23</v>
      </c>
      <c r="I3" t="s">
        <v>29</v>
      </c>
      <c r="J3" s="5">
        <v>0</v>
      </c>
      <c r="K3" s="5">
        <v>0</v>
      </c>
      <c r="M3" s="5">
        <v>8</v>
      </c>
      <c r="N3" s="5">
        <v>4</v>
      </c>
      <c r="P3" s="5">
        <v>3</v>
      </c>
      <c r="Q3" s="5">
        <v>15000</v>
      </c>
      <c r="S3" s="5">
        <v>12500</v>
      </c>
      <c r="X3">
        <f>salaire_base(Tableau4[[#This Row],[Catégorie]])</f>
        <v>350126.60000000003</v>
      </c>
      <c r="Y3">
        <f>Heure_Supp15(Tableau4[[#This Row],[Catégorie]],Tableau4[[#This Row],[H_supp_15]])</f>
        <v>18584</v>
      </c>
      <c r="Z3">
        <f>Heure_Supp40(Tableau4[[#This Row],[Catégorie]],Tableau4[[#This Row],[H_supp_40]])</f>
        <v>11312</v>
      </c>
      <c r="AA3">
        <f>Heure_Supp60(Tableau4[[#This Row],[Catégorie]],Tableau4[[#This Row],[H_supp_60]])</f>
        <v>0</v>
      </c>
      <c r="AB3">
        <f>Heure_Supp100(Tableau4[[#This Row],[Catégorie]],Tableau4[[#This Row],[H_supp_100]])</f>
        <v>12120</v>
      </c>
      <c r="AC3">
        <f>salaire_brut_social(X3,Y3,Z3,AA3,AB3,Tableau4[[#This Row],[sursalaire]],Tableau4[[#This Row],[Prime]],Tableau4[[#This Row],[Indemnité]])</f>
        <v>419642.60000000003</v>
      </c>
      <c r="AD3">
        <f>salaire_brut_fiscal(AC3,Tableau4[[#This Row],[Avantages]])</f>
        <v>419642.60000000003</v>
      </c>
      <c r="AE3">
        <f t="shared" ref="AE3:AE51" si="0">regime_general(AD3)</f>
        <v>20160</v>
      </c>
    </row>
    <row r="4" spans="1:34" x14ac:dyDescent="0.25">
      <c r="A4">
        <v>3</v>
      </c>
      <c r="B4" t="s">
        <v>42</v>
      </c>
      <c r="C4" t="s">
        <v>43</v>
      </c>
      <c r="D4" t="s">
        <v>44</v>
      </c>
      <c r="E4" t="s">
        <v>45</v>
      </c>
      <c r="F4" t="s">
        <v>46</v>
      </c>
      <c r="G4" s="5" t="s">
        <v>26</v>
      </c>
      <c r="H4" s="5" t="s">
        <v>23</v>
      </c>
      <c r="I4" t="s">
        <v>28</v>
      </c>
      <c r="J4" s="5">
        <v>2</v>
      </c>
      <c r="K4" s="5">
        <v>6</v>
      </c>
      <c r="O4" s="5">
        <v>6</v>
      </c>
      <c r="P4" s="5">
        <v>2</v>
      </c>
      <c r="S4" s="5">
        <v>20000</v>
      </c>
      <c r="T4" s="5">
        <v>5000</v>
      </c>
      <c r="X4">
        <f>salaire_base(Tableau4[[#This Row],[Catégorie]])</f>
        <v>350126.60000000003</v>
      </c>
      <c r="Y4">
        <f>Heure_Supp15(Tableau4[[#This Row],[Catégorie]],Tableau4[[#This Row],[H_supp_15]])</f>
        <v>0</v>
      </c>
      <c r="Z4">
        <f>Heure_Supp40(Tableau4[[#This Row],[Catégorie]],Tableau4[[#This Row],[H_supp_40]])</f>
        <v>0</v>
      </c>
      <c r="AA4">
        <f>Heure_Supp60(Tableau4[[#This Row],[Catégorie]],Tableau4[[#This Row],[H_supp_60]])</f>
        <v>19392</v>
      </c>
      <c r="AB4">
        <f>Heure_Supp100(Tableau4[[#This Row],[Catégorie]],Tableau4[[#This Row],[H_supp_100]])</f>
        <v>8080</v>
      </c>
      <c r="AC4">
        <f>salaire_brut_social(X4,Y4,Z4,AA4,AB4,Tableau4[[#This Row],[sursalaire]],Tableau4[[#This Row],[Prime]],Tableau4[[#This Row],[Indemnité]])</f>
        <v>397598.60000000003</v>
      </c>
      <c r="AD4">
        <f>salaire_brut_fiscal(AC4,Tableau4[[#This Row],[Avantages]])</f>
        <v>397598.60000000003</v>
      </c>
      <c r="AE4">
        <f t="shared" si="0"/>
        <v>20160</v>
      </c>
    </row>
    <row r="5" spans="1:34" x14ac:dyDescent="0.25">
      <c r="A5">
        <v>4</v>
      </c>
      <c r="B5" t="s">
        <v>47</v>
      </c>
      <c r="C5" t="s">
        <v>48</v>
      </c>
      <c r="D5" t="s">
        <v>49</v>
      </c>
      <c r="E5" t="s">
        <v>50</v>
      </c>
      <c r="F5" t="s">
        <v>51</v>
      </c>
      <c r="G5" s="5" t="s">
        <v>26</v>
      </c>
      <c r="H5" s="5" t="s">
        <v>24</v>
      </c>
      <c r="I5" t="s">
        <v>28</v>
      </c>
      <c r="J5" s="5">
        <v>1</v>
      </c>
      <c r="K5" s="5">
        <v>1</v>
      </c>
      <c r="M5" s="5">
        <v>8</v>
      </c>
      <c r="N5" s="5">
        <v>4</v>
      </c>
      <c r="Q5" s="5">
        <v>10000</v>
      </c>
      <c r="X5">
        <f>salaire_base(Tableau4[[#This Row],[Catégorie]])</f>
        <v>240062.05000000002</v>
      </c>
      <c r="Y5">
        <f>Heure_Supp15(Tableau4[[#This Row],[Catégorie]],Tableau4[[#This Row],[H_supp_15]])</f>
        <v>12741.999999999998</v>
      </c>
      <c r="Z5">
        <f>Heure_Supp40(Tableau4[[#This Row],[Catégorie]],Tableau4[[#This Row],[H_supp_40]])</f>
        <v>7755.9999999999991</v>
      </c>
      <c r="AA5">
        <f>Heure_Supp60(Tableau4[[#This Row],[Catégorie]],Tableau4[[#This Row],[H_supp_60]])</f>
        <v>0</v>
      </c>
      <c r="AB5">
        <f>Heure_Supp100(Tableau4[[#This Row],[Catégorie]],Tableau4[[#This Row],[H_supp_100]])</f>
        <v>0</v>
      </c>
      <c r="AC5">
        <f>salaire_brut_social(X5,Y5,Z5,AA5,AB5,Tableau4[[#This Row],[sursalaire]],Tableau4[[#This Row],[Prime]],Tableau4[[#This Row],[Indemnité]])</f>
        <v>270560.05000000005</v>
      </c>
      <c r="AD5">
        <f>salaire_brut_fiscal(AC5,Tableau4[[#This Row],[Avantages]])</f>
        <v>270560.05000000005</v>
      </c>
      <c r="AE5">
        <f t="shared" si="0"/>
        <v>15151.362800000003</v>
      </c>
    </row>
    <row r="6" spans="1:34" x14ac:dyDescent="0.25">
      <c r="A6">
        <v>5</v>
      </c>
      <c r="B6" t="s">
        <v>52</v>
      </c>
      <c r="C6" t="s">
        <v>53</v>
      </c>
      <c r="D6" t="s">
        <v>54</v>
      </c>
      <c r="E6" t="s">
        <v>55</v>
      </c>
      <c r="F6" t="s">
        <v>56</v>
      </c>
      <c r="G6" s="5" t="s">
        <v>26</v>
      </c>
      <c r="H6" s="5" t="s">
        <v>24</v>
      </c>
      <c r="I6" t="s">
        <v>29</v>
      </c>
      <c r="J6" s="5">
        <v>0</v>
      </c>
      <c r="K6" s="5">
        <v>1</v>
      </c>
      <c r="L6" s="5">
        <v>15000</v>
      </c>
      <c r="M6" s="5">
        <v>8</v>
      </c>
      <c r="N6" s="5">
        <v>4</v>
      </c>
      <c r="O6" s="5">
        <v>4</v>
      </c>
      <c r="P6" s="5">
        <v>2</v>
      </c>
      <c r="R6" s="5">
        <v>35000</v>
      </c>
      <c r="T6" s="5">
        <v>3500</v>
      </c>
      <c r="U6" s="5">
        <v>30000</v>
      </c>
      <c r="V6" s="5">
        <v>20000</v>
      </c>
      <c r="X6">
        <f>salaire_base(Tableau4[[#This Row],[Catégorie]])</f>
        <v>240062.05000000002</v>
      </c>
      <c r="Y6">
        <f>Heure_Supp15(Tableau4[[#This Row],[Catégorie]],Tableau4[[#This Row],[H_supp_15]])</f>
        <v>12741.999999999998</v>
      </c>
      <c r="Z6">
        <f>Heure_Supp40(Tableau4[[#This Row],[Catégorie]],Tableau4[[#This Row],[H_supp_40]])</f>
        <v>7755.9999999999991</v>
      </c>
      <c r="AA6">
        <f>Heure_Supp60(Tableau4[[#This Row],[Catégorie]],Tableau4[[#This Row],[H_supp_60]])</f>
        <v>8864</v>
      </c>
      <c r="AB6">
        <f>Heure_Supp100(Tableau4[[#This Row],[Catégorie]],Tableau4[[#This Row],[H_supp_100]])</f>
        <v>5540</v>
      </c>
      <c r="AC6">
        <f>salaire_brut_social(X6,Y6,Z6,AA6,AB6,Tableau4[[#This Row],[sursalaire]],Tableau4[[#This Row],[Prime]],Tableau4[[#This Row],[Indemnité]])</f>
        <v>289964.05000000005</v>
      </c>
      <c r="AD6">
        <f>salaire_brut_fiscal(AC6,Tableau4[[#This Row],[Avantages]])</f>
        <v>324964.05000000005</v>
      </c>
      <c r="AE6">
        <f t="shared" si="0"/>
        <v>18197.986800000002</v>
      </c>
    </row>
    <row r="7" spans="1:34" x14ac:dyDescent="0.25">
      <c r="A7">
        <v>6</v>
      </c>
      <c r="B7" t="s">
        <v>175</v>
      </c>
      <c r="C7" t="s">
        <v>111</v>
      </c>
      <c r="D7" t="s">
        <v>112</v>
      </c>
      <c r="E7" t="s">
        <v>113</v>
      </c>
      <c r="F7" t="s">
        <v>114</v>
      </c>
      <c r="G7" s="5" t="s">
        <v>26</v>
      </c>
      <c r="H7" s="5" t="s">
        <v>24</v>
      </c>
      <c r="I7" t="s">
        <v>29</v>
      </c>
      <c r="J7" s="5">
        <v>0</v>
      </c>
      <c r="K7" s="5">
        <v>0</v>
      </c>
      <c r="T7" s="5">
        <v>2500</v>
      </c>
      <c r="X7">
        <f>salaire_base(Tableau4[[#This Row],[Catégorie]])</f>
        <v>240062.05000000002</v>
      </c>
      <c r="Y7">
        <f>Heure_Supp15(Tableau4[[#This Row],[Catégorie]],Tableau4[[#This Row],[H_supp_15]])</f>
        <v>0</v>
      </c>
      <c r="Z7">
        <f>Heure_Supp40(Tableau4[[#This Row],[Catégorie]],Tableau4[[#This Row],[H_supp_40]])</f>
        <v>0</v>
      </c>
      <c r="AA7">
        <f>Heure_Supp60(Tableau4[[#This Row],[Catégorie]],Tableau4[[#This Row],[H_supp_60]])</f>
        <v>0</v>
      </c>
      <c r="AB7">
        <f>Heure_Supp100(Tableau4[[#This Row],[Catégorie]],Tableau4[[#This Row],[H_supp_100]])</f>
        <v>0</v>
      </c>
      <c r="AC7">
        <f>salaire_brut_social(X7,Y7,Z7,AA7,AB7,Tableau4[[#This Row],[sursalaire]],Tableau4[[#This Row],[Prime]],Tableau4[[#This Row],[Indemnité]])</f>
        <v>240062.05000000002</v>
      </c>
      <c r="AD7">
        <f>salaire_brut_fiscal(AC7,Tableau4[[#This Row],[Avantages]])</f>
        <v>240062.05000000002</v>
      </c>
      <c r="AE7">
        <f t="shared" si="0"/>
        <v>13443.474800000002</v>
      </c>
    </row>
    <row r="8" spans="1:34" x14ac:dyDescent="0.25">
      <c r="A8">
        <v>7</v>
      </c>
      <c r="B8" t="s">
        <v>115</v>
      </c>
      <c r="C8" t="s">
        <v>116</v>
      </c>
      <c r="D8" t="s">
        <v>117</v>
      </c>
      <c r="E8" t="s">
        <v>118</v>
      </c>
      <c r="F8" t="s">
        <v>119</v>
      </c>
      <c r="G8" s="5" t="s">
        <v>25</v>
      </c>
      <c r="H8" s="5" t="s">
        <v>22</v>
      </c>
      <c r="I8" t="s">
        <v>28</v>
      </c>
      <c r="J8" s="5">
        <v>0</v>
      </c>
      <c r="K8" s="5">
        <v>4</v>
      </c>
      <c r="Q8" s="5">
        <v>10000</v>
      </c>
      <c r="R8" s="5">
        <v>60000</v>
      </c>
      <c r="X8">
        <f>salaire_base(Tableau4[[#This Row],[Catégorie]])</f>
        <v>469897.63000000006</v>
      </c>
      <c r="Y8">
        <f>Heure_Supp15(Tableau4[[#This Row],[Catégorie]],Tableau4[[#This Row],[H_supp_15]])</f>
        <v>0</v>
      </c>
      <c r="Z8">
        <f>Heure_Supp40(Tableau4[[#This Row],[Catégorie]],Tableau4[[#This Row],[H_supp_40]])</f>
        <v>0</v>
      </c>
      <c r="AA8">
        <f>Heure_Supp60(Tableau4[[#This Row],[Catégorie]],Tableau4[[#This Row],[H_supp_60]])</f>
        <v>0</v>
      </c>
      <c r="AB8">
        <f>Heure_Supp100(Tableau4[[#This Row],[Catégorie]],Tableau4[[#This Row],[H_supp_100]])</f>
        <v>0</v>
      </c>
      <c r="AC8">
        <f>salaire_brut_social(X8,Y8,Z8,AA8,AB8,Tableau4[[#This Row],[sursalaire]],Tableau4[[#This Row],[Prime]],Tableau4[[#This Row],[Indemnité]])</f>
        <v>479897.63000000006</v>
      </c>
      <c r="AD8">
        <f>salaire_brut_fiscal(AC8,Tableau4[[#This Row],[Avantages]])</f>
        <v>539897.63000000012</v>
      </c>
      <c r="AE8">
        <f t="shared" si="0"/>
        <v>20160</v>
      </c>
    </row>
    <row r="9" spans="1:34" x14ac:dyDescent="0.25">
      <c r="A9">
        <v>8</v>
      </c>
      <c r="B9" t="s">
        <v>120</v>
      </c>
      <c r="C9" t="s">
        <v>121</v>
      </c>
      <c r="D9" t="s">
        <v>122</v>
      </c>
      <c r="E9" t="s">
        <v>123</v>
      </c>
      <c r="F9" t="s">
        <v>36</v>
      </c>
      <c r="G9" s="5" t="s">
        <v>25</v>
      </c>
      <c r="H9" s="5" t="s">
        <v>22</v>
      </c>
      <c r="I9" t="s">
        <v>29</v>
      </c>
      <c r="J9" s="5">
        <v>0</v>
      </c>
      <c r="K9" s="5">
        <v>0</v>
      </c>
      <c r="T9" s="5">
        <v>3000</v>
      </c>
      <c r="X9">
        <f>salaire_base(Tableau4[[#This Row],[Catégorie]])</f>
        <v>469897.63000000006</v>
      </c>
      <c r="Y9">
        <f>Heure_Supp15(Tableau4[[#This Row],[Catégorie]],Tableau4[[#This Row],[H_supp_15]])</f>
        <v>0</v>
      </c>
      <c r="Z9">
        <f>Heure_Supp40(Tableau4[[#This Row],[Catégorie]],Tableau4[[#This Row],[H_supp_40]])</f>
        <v>0</v>
      </c>
      <c r="AA9">
        <f>Heure_Supp60(Tableau4[[#This Row],[Catégorie]],Tableau4[[#This Row],[H_supp_60]])</f>
        <v>0</v>
      </c>
      <c r="AB9">
        <f>Heure_Supp100(Tableau4[[#This Row],[Catégorie]],Tableau4[[#This Row],[H_supp_100]])</f>
        <v>0</v>
      </c>
      <c r="AC9">
        <f>salaire_brut_social(X9,Y9,Z9,AA9,AB9,Tableau4[[#This Row],[sursalaire]],Tableau4[[#This Row],[Prime]],Tableau4[[#This Row],[Indemnité]])</f>
        <v>469897.63000000006</v>
      </c>
      <c r="AD9">
        <f>salaire_brut_fiscal(AC9,Tableau4[[#This Row],[Avantages]])</f>
        <v>469897.63000000006</v>
      </c>
      <c r="AE9">
        <f t="shared" si="0"/>
        <v>20160</v>
      </c>
    </row>
    <row r="10" spans="1:34" x14ac:dyDescent="0.25">
      <c r="A10">
        <v>9</v>
      </c>
      <c r="B10" t="s">
        <v>124</v>
      </c>
      <c r="C10" t="s">
        <v>125</v>
      </c>
      <c r="D10" t="s">
        <v>122</v>
      </c>
      <c r="E10" s="1">
        <v>29260</v>
      </c>
      <c r="F10" t="s">
        <v>119</v>
      </c>
      <c r="G10" s="5" t="s">
        <v>26</v>
      </c>
      <c r="H10" s="5" t="s">
        <v>22</v>
      </c>
      <c r="I10" t="s">
        <v>28</v>
      </c>
      <c r="J10" s="5">
        <v>3</v>
      </c>
      <c r="K10" s="5">
        <v>8</v>
      </c>
      <c r="R10" s="5">
        <v>37500</v>
      </c>
      <c r="T10" s="5">
        <v>3000</v>
      </c>
      <c r="U10" s="5">
        <v>55000</v>
      </c>
      <c r="X10">
        <f>salaire_base(Tableau4[[#This Row],[Catégorie]])</f>
        <v>469897.63000000006</v>
      </c>
      <c r="Y10">
        <f>Heure_Supp15(Tableau4[[#This Row],[Catégorie]],Tableau4[[#This Row],[H_supp_15]])</f>
        <v>0</v>
      </c>
      <c r="Z10">
        <f>Heure_Supp40(Tableau4[[#This Row],[Catégorie]],Tableau4[[#This Row],[H_supp_40]])</f>
        <v>0</v>
      </c>
      <c r="AA10">
        <f>Heure_Supp60(Tableau4[[#This Row],[Catégorie]],Tableau4[[#This Row],[H_supp_60]])</f>
        <v>0</v>
      </c>
      <c r="AB10">
        <f>Heure_Supp100(Tableau4[[#This Row],[Catégorie]],Tableau4[[#This Row],[H_supp_100]])</f>
        <v>0</v>
      </c>
      <c r="AC10">
        <f>salaire_brut_social(X10,Y10,Z10,AA10,AB10,Tableau4[[#This Row],[sursalaire]],Tableau4[[#This Row],[Prime]],Tableau4[[#This Row],[Indemnité]])</f>
        <v>469897.63000000006</v>
      </c>
      <c r="AD10">
        <f>salaire_brut_fiscal(AC10,Tableau4[[#This Row],[Avantages]])</f>
        <v>507397.63000000006</v>
      </c>
      <c r="AE10">
        <f t="shared" si="0"/>
        <v>20160</v>
      </c>
    </row>
    <row r="11" spans="1:34" x14ac:dyDescent="0.25">
      <c r="A11">
        <v>10</v>
      </c>
      <c r="B11" t="s">
        <v>126</v>
      </c>
      <c r="C11" t="s">
        <v>127</v>
      </c>
      <c r="D11" t="s">
        <v>128</v>
      </c>
      <c r="E11" s="1">
        <v>27977</v>
      </c>
      <c r="F11" t="s">
        <v>129</v>
      </c>
      <c r="G11" s="5" t="s">
        <v>26</v>
      </c>
      <c r="H11" s="5" t="s">
        <v>22</v>
      </c>
      <c r="I11" t="s">
        <v>29</v>
      </c>
      <c r="J11" s="5">
        <v>0</v>
      </c>
      <c r="K11" s="5">
        <v>0</v>
      </c>
      <c r="R11" s="5">
        <v>50000</v>
      </c>
      <c r="X11">
        <f>salaire_base(Tableau4[[#This Row],[Catégorie]])</f>
        <v>469897.63000000006</v>
      </c>
      <c r="Y11">
        <f>Heure_Supp15(Tableau4[[#This Row],[Catégorie]],Tableau4[[#This Row],[H_supp_15]])</f>
        <v>0</v>
      </c>
      <c r="Z11">
        <f>Heure_Supp40(Tableau4[[#This Row],[Catégorie]],Tableau4[[#This Row],[H_supp_40]])</f>
        <v>0</v>
      </c>
      <c r="AA11">
        <f>Heure_Supp60(Tableau4[[#This Row],[Catégorie]],Tableau4[[#This Row],[H_supp_60]])</f>
        <v>0</v>
      </c>
      <c r="AB11">
        <f>Heure_Supp100(Tableau4[[#This Row],[Catégorie]],Tableau4[[#This Row],[H_supp_100]])</f>
        <v>0</v>
      </c>
      <c r="AC11">
        <f>salaire_brut_social(X11,Y11,Z11,AA11,AB11,Tableau4[[#This Row],[sursalaire]],Tableau4[[#This Row],[Prime]],Tableau4[[#This Row],[Indemnité]])</f>
        <v>469897.63000000006</v>
      </c>
      <c r="AD11">
        <f>salaire_brut_fiscal(AC11,Tableau4[[#This Row],[Avantages]])</f>
        <v>519897.63000000006</v>
      </c>
      <c r="AE11">
        <f t="shared" si="0"/>
        <v>20160</v>
      </c>
    </row>
    <row r="12" spans="1:34" x14ac:dyDescent="0.25">
      <c r="A12">
        <v>11</v>
      </c>
      <c r="B12" t="s">
        <v>130</v>
      </c>
      <c r="C12" t="s">
        <v>131</v>
      </c>
      <c r="D12" t="s">
        <v>132</v>
      </c>
      <c r="E12" t="s">
        <v>133</v>
      </c>
      <c r="F12" t="s">
        <v>134</v>
      </c>
      <c r="G12" s="5" t="s">
        <v>25</v>
      </c>
      <c r="H12" s="5" t="s">
        <v>23</v>
      </c>
      <c r="I12" t="s">
        <v>29</v>
      </c>
      <c r="J12" s="5">
        <v>0</v>
      </c>
      <c r="K12" s="5">
        <v>0</v>
      </c>
      <c r="M12" s="5">
        <v>8</v>
      </c>
      <c r="O12" s="5">
        <v>3</v>
      </c>
      <c r="P12" s="5">
        <v>2</v>
      </c>
      <c r="S12" s="5">
        <v>25000</v>
      </c>
      <c r="T12" s="5">
        <v>3000</v>
      </c>
      <c r="X12">
        <f>salaire_base(Tableau4[[#This Row],[Catégorie]])</f>
        <v>350126.60000000003</v>
      </c>
      <c r="Y12">
        <f>Heure_Supp15(Tableau4[[#This Row],[Catégorie]],Tableau4[[#This Row],[H_supp_15]])</f>
        <v>18584</v>
      </c>
      <c r="Z12">
        <f>Heure_Supp40(Tableau4[[#This Row],[Catégorie]],Tableau4[[#This Row],[H_supp_40]])</f>
        <v>0</v>
      </c>
      <c r="AA12">
        <f>Heure_Supp60(Tableau4[[#This Row],[Catégorie]],Tableau4[[#This Row],[H_supp_60]])</f>
        <v>9696</v>
      </c>
      <c r="AB12">
        <f>Heure_Supp100(Tableau4[[#This Row],[Catégorie]],Tableau4[[#This Row],[H_supp_100]])</f>
        <v>8080</v>
      </c>
      <c r="AC12">
        <f>salaire_brut_social(X12,Y12,Z12,AA12,AB12,Tableau4[[#This Row],[sursalaire]],Tableau4[[#This Row],[Prime]],Tableau4[[#This Row],[Indemnité]])</f>
        <v>411486.60000000003</v>
      </c>
      <c r="AD12">
        <f>salaire_brut_fiscal(AC12,Tableau4[[#This Row],[Avantages]])</f>
        <v>411486.60000000003</v>
      </c>
      <c r="AE12">
        <f t="shared" si="0"/>
        <v>20160</v>
      </c>
    </row>
    <row r="13" spans="1:34" x14ac:dyDescent="0.25">
      <c r="A13">
        <v>12</v>
      </c>
      <c r="B13" t="s">
        <v>135</v>
      </c>
      <c r="C13" t="s">
        <v>136</v>
      </c>
      <c r="D13" t="s">
        <v>137</v>
      </c>
      <c r="E13" t="s">
        <v>138</v>
      </c>
      <c r="F13" t="s">
        <v>139</v>
      </c>
      <c r="G13" s="5" t="s">
        <v>26</v>
      </c>
      <c r="H13" s="5" t="s">
        <v>23</v>
      </c>
      <c r="I13" t="s">
        <v>29</v>
      </c>
      <c r="J13" s="5">
        <v>0</v>
      </c>
      <c r="K13" s="5">
        <v>0</v>
      </c>
      <c r="O13" s="5">
        <v>2</v>
      </c>
      <c r="U13" s="5">
        <v>17500</v>
      </c>
      <c r="X13">
        <f>salaire_base(Tableau4[[#This Row],[Catégorie]])</f>
        <v>350126.60000000003</v>
      </c>
      <c r="Y13">
        <f>Heure_Supp15(Tableau4[[#This Row],[Catégorie]],Tableau4[[#This Row],[H_supp_15]])</f>
        <v>0</v>
      </c>
      <c r="Z13">
        <f>Heure_Supp40(Tableau4[[#This Row],[Catégorie]],Tableau4[[#This Row],[H_supp_40]])</f>
        <v>0</v>
      </c>
      <c r="AA13">
        <f>Heure_Supp60(Tableau4[[#This Row],[Catégorie]],Tableau4[[#This Row],[H_supp_60]])</f>
        <v>6464</v>
      </c>
      <c r="AB13">
        <f>Heure_Supp100(Tableau4[[#This Row],[Catégorie]],Tableau4[[#This Row],[H_supp_100]])</f>
        <v>0</v>
      </c>
      <c r="AC13">
        <f>salaire_brut_social(X13,Y13,Z13,AA13,AB13,Tableau4[[#This Row],[sursalaire]],Tableau4[[#This Row],[Prime]],Tableau4[[#This Row],[Indemnité]])</f>
        <v>356590.60000000003</v>
      </c>
      <c r="AD13">
        <f>salaire_brut_fiscal(AC13,Tableau4[[#This Row],[Avantages]])</f>
        <v>356590.60000000003</v>
      </c>
      <c r="AE13">
        <f t="shared" si="0"/>
        <v>19969.073600000003</v>
      </c>
    </row>
    <row r="14" spans="1:34" x14ac:dyDescent="0.25">
      <c r="A14">
        <v>13</v>
      </c>
      <c r="B14" t="s">
        <v>140</v>
      </c>
      <c r="C14" t="s">
        <v>141</v>
      </c>
      <c r="D14" t="s">
        <v>142</v>
      </c>
      <c r="E14" t="s">
        <v>143</v>
      </c>
      <c r="F14" t="s">
        <v>144</v>
      </c>
      <c r="G14" s="5" t="s">
        <v>25</v>
      </c>
      <c r="H14" s="5" t="s">
        <v>23</v>
      </c>
      <c r="I14" t="s">
        <v>29</v>
      </c>
      <c r="J14" s="5">
        <v>0</v>
      </c>
      <c r="K14" s="5">
        <v>1</v>
      </c>
      <c r="M14" s="5">
        <v>8</v>
      </c>
      <c r="N14" s="5">
        <v>5</v>
      </c>
      <c r="O14" s="5">
        <v>3</v>
      </c>
      <c r="P14" s="5">
        <v>3</v>
      </c>
      <c r="S14" s="5">
        <v>17000</v>
      </c>
      <c r="T14" s="5">
        <v>3000</v>
      </c>
      <c r="V14" s="5">
        <v>15000</v>
      </c>
      <c r="X14">
        <f>salaire_base(Tableau4[[#This Row],[Catégorie]])</f>
        <v>350126.60000000003</v>
      </c>
      <c r="Y14">
        <f>Heure_Supp15(Tableau4[[#This Row],[Catégorie]],Tableau4[[#This Row],[H_supp_15]])</f>
        <v>18584</v>
      </c>
      <c r="Z14">
        <f>Heure_Supp40(Tableau4[[#This Row],[Catégorie]],Tableau4[[#This Row],[H_supp_40]])</f>
        <v>14140</v>
      </c>
      <c r="AA14">
        <f>Heure_Supp60(Tableau4[[#This Row],[Catégorie]],Tableau4[[#This Row],[H_supp_60]])</f>
        <v>9696</v>
      </c>
      <c r="AB14">
        <f>Heure_Supp100(Tableau4[[#This Row],[Catégorie]],Tableau4[[#This Row],[H_supp_100]])</f>
        <v>12120</v>
      </c>
      <c r="AC14">
        <f>salaire_brut_social(X14,Y14,Z14,AA14,AB14,Tableau4[[#This Row],[sursalaire]],Tableau4[[#This Row],[Prime]],Tableau4[[#This Row],[Indemnité]])</f>
        <v>421666.60000000003</v>
      </c>
      <c r="AD14">
        <f>salaire_brut_fiscal(AC14,Tableau4[[#This Row],[Avantages]])</f>
        <v>421666.60000000003</v>
      </c>
      <c r="AE14">
        <f t="shared" si="0"/>
        <v>20160</v>
      </c>
    </row>
    <row r="15" spans="1:34" x14ac:dyDescent="0.25">
      <c r="A15">
        <v>14</v>
      </c>
      <c r="B15" t="s">
        <v>145</v>
      </c>
      <c r="C15" t="s">
        <v>95</v>
      </c>
      <c r="D15" t="s">
        <v>146</v>
      </c>
      <c r="E15" t="s">
        <v>147</v>
      </c>
      <c r="F15" t="s">
        <v>148</v>
      </c>
      <c r="G15" s="5" t="s">
        <v>26</v>
      </c>
      <c r="H15" s="5" t="s">
        <v>24</v>
      </c>
      <c r="I15" t="s">
        <v>29</v>
      </c>
      <c r="J15" s="5">
        <v>0</v>
      </c>
      <c r="K15" s="5">
        <v>0</v>
      </c>
      <c r="T15" s="5">
        <v>2500</v>
      </c>
      <c r="X15">
        <f>salaire_base(Tableau4[[#This Row],[Catégorie]])</f>
        <v>240062.05000000002</v>
      </c>
      <c r="Y15">
        <f>Heure_Supp15(Tableau4[[#This Row],[Catégorie]],Tableau4[[#This Row],[H_supp_15]])</f>
        <v>0</v>
      </c>
      <c r="Z15">
        <f>Heure_Supp40(Tableau4[[#This Row],[Catégorie]],Tableau4[[#This Row],[H_supp_40]])</f>
        <v>0</v>
      </c>
      <c r="AA15">
        <f>Heure_Supp60(Tableau4[[#This Row],[Catégorie]],Tableau4[[#This Row],[H_supp_60]])</f>
        <v>0</v>
      </c>
      <c r="AB15">
        <f>Heure_Supp100(Tableau4[[#This Row],[Catégorie]],Tableau4[[#This Row],[H_supp_100]])</f>
        <v>0</v>
      </c>
      <c r="AC15">
        <f>salaire_brut_social(X15,Y15,Z15,AA15,AB15,Tableau4[[#This Row],[sursalaire]],Tableau4[[#This Row],[Prime]],Tableau4[[#This Row],[Indemnité]])</f>
        <v>240062.05000000002</v>
      </c>
      <c r="AD15">
        <f>salaire_brut_fiscal(AC15,Tableau4[[#This Row],[Avantages]])</f>
        <v>240062.05000000002</v>
      </c>
      <c r="AE15">
        <f t="shared" si="0"/>
        <v>13443.474800000002</v>
      </c>
    </row>
    <row r="16" spans="1:34" x14ac:dyDescent="0.25">
      <c r="A16">
        <v>15</v>
      </c>
      <c r="B16" t="s">
        <v>149</v>
      </c>
      <c r="C16" t="s">
        <v>150</v>
      </c>
      <c r="D16" t="s">
        <v>146</v>
      </c>
      <c r="E16" t="s">
        <v>151</v>
      </c>
      <c r="F16" t="s">
        <v>148</v>
      </c>
      <c r="G16" s="5" t="s">
        <v>26</v>
      </c>
      <c r="H16" s="5" t="s">
        <v>24</v>
      </c>
      <c r="I16" t="s">
        <v>29</v>
      </c>
      <c r="J16" s="5">
        <v>0</v>
      </c>
      <c r="K16" s="5">
        <v>0</v>
      </c>
      <c r="N16" s="5">
        <v>5</v>
      </c>
      <c r="O16" s="5">
        <v>5</v>
      </c>
      <c r="X16">
        <f>salaire_base(Tableau4[[#This Row],[Catégorie]])</f>
        <v>240062.05000000002</v>
      </c>
      <c r="Y16">
        <f>Heure_Supp15(Tableau4[[#This Row],[Catégorie]],Tableau4[[#This Row],[H_supp_15]])</f>
        <v>0</v>
      </c>
      <c r="Z16">
        <f>Heure_Supp40(Tableau4[[#This Row],[Catégorie]],Tableau4[[#This Row],[H_supp_40]])</f>
        <v>9694.9999999999982</v>
      </c>
      <c r="AA16">
        <f>Heure_Supp60(Tableau4[[#This Row],[Catégorie]],Tableau4[[#This Row],[H_supp_60]])</f>
        <v>11080</v>
      </c>
      <c r="AB16">
        <f>Heure_Supp100(Tableau4[[#This Row],[Catégorie]],Tableau4[[#This Row],[H_supp_100]])</f>
        <v>0</v>
      </c>
      <c r="AC16">
        <f>salaire_brut_social(X16,Y16,Z16,AA16,AB16,Tableau4[[#This Row],[sursalaire]],Tableau4[[#This Row],[Prime]],Tableau4[[#This Row],[Indemnité]])</f>
        <v>260837.05000000002</v>
      </c>
      <c r="AD16">
        <f>salaire_brut_fiscal(AC16,Tableau4[[#This Row],[Avantages]])</f>
        <v>260837.05000000002</v>
      </c>
      <c r="AE16">
        <f t="shared" si="0"/>
        <v>14606.874800000001</v>
      </c>
    </row>
    <row r="17" spans="1:31" x14ac:dyDescent="0.25">
      <c r="A17">
        <v>16</v>
      </c>
      <c r="B17" t="s">
        <v>152</v>
      </c>
      <c r="C17" t="s">
        <v>153</v>
      </c>
      <c r="D17" t="s">
        <v>154</v>
      </c>
      <c r="E17" t="s">
        <v>155</v>
      </c>
      <c r="F17" t="s">
        <v>156</v>
      </c>
      <c r="G17" s="5" t="s">
        <v>26</v>
      </c>
      <c r="H17" s="5" t="s">
        <v>24</v>
      </c>
      <c r="I17" t="s">
        <v>28</v>
      </c>
      <c r="J17" s="5">
        <v>1</v>
      </c>
      <c r="K17" s="5">
        <v>4</v>
      </c>
      <c r="M17" s="5">
        <v>8</v>
      </c>
      <c r="P17" s="5">
        <v>6</v>
      </c>
      <c r="Q17" s="5">
        <v>10000</v>
      </c>
      <c r="X17">
        <f>salaire_base(Tableau4[[#This Row],[Catégorie]])</f>
        <v>240062.05000000002</v>
      </c>
      <c r="Y17">
        <f>Heure_Supp15(Tableau4[[#This Row],[Catégorie]],Tableau4[[#This Row],[H_supp_15]])</f>
        <v>12741.999999999998</v>
      </c>
      <c r="Z17">
        <f>Heure_Supp40(Tableau4[[#This Row],[Catégorie]],Tableau4[[#This Row],[H_supp_40]])</f>
        <v>0</v>
      </c>
      <c r="AA17">
        <f>Heure_Supp60(Tableau4[[#This Row],[Catégorie]],Tableau4[[#This Row],[H_supp_60]])</f>
        <v>0</v>
      </c>
      <c r="AB17">
        <f>Heure_Supp100(Tableau4[[#This Row],[Catégorie]],Tableau4[[#This Row],[H_supp_100]])</f>
        <v>16620</v>
      </c>
      <c r="AC17">
        <f>salaire_brut_social(X17,Y17,Z17,AA17,AB17,Tableau4[[#This Row],[sursalaire]],Tableau4[[#This Row],[Prime]],Tableau4[[#This Row],[Indemnité]])</f>
        <v>279424.05000000005</v>
      </c>
      <c r="AD17">
        <f>salaire_brut_fiscal(AC17,Tableau4[[#This Row],[Avantages]])</f>
        <v>279424.05000000005</v>
      </c>
      <c r="AE17">
        <f t="shared" si="0"/>
        <v>15647.746800000003</v>
      </c>
    </row>
    <row r="18" spans="1:31" x14ac:dyDescent="0.25">
      <c r="A18">
        <v>17</v>
      </c>
      <c r="B18" t="s">
        <v>157</v>
      </c>
      <c r="C18" t="s">
        <v>158</v>
      </c>
      <c r="D18" t="s">
        <v>154</v>
      </c>
      <c r="E18" t="s">
        <v>159</v>
      </c>
      <c r="F18" t="s">
        <v>160</v>
      </c>
      <c r="G18" s="5" t="s">
        <v>26</v>
      </c>
      <c r="H18" s="5" t="s">
        <v>24</v>
      </c>
      <c r="I18" t="s">
        <v>28</v>
      </c>
      <c r="J18" s="5">
        <v>1</v>
      </c>
      <c r="K18" s="5">
        <v>3</v>
      </c>
      <c r="N18" s="5">
        <v>2</v>
      </c>
      <c r="O18" s="5">
        <v>5</v>
      </c>
      <c r="U18" s="5">
        <v>20000</v>
      </c>
      <c r="X18">
        <f>salaire_base(Tableau4[[#This Row],[Catégorie]])</f>
        <v>240062.05000000002</v>
      </c>
      <c r="Y18">
        <f>Heure_Supp15(Tableau4[[#This Row],[Catégorie]],Tableau4[[#This Row],[H_supp_15]])</f>
        <v>0</v>
      </c>
      <c r="Z18">
        <f>Heure_Supp40(Tableau4[[#This Row],[Catégorie]],Tableau4[[#This Row],[H_supp_40]])</f>
        <v>3877.9999999999995</v>
      </c>
      <c r="AA18">
        <f>Heure_Supp60(Tableau4[[#This Row],[Catégorie]],Tableau4[[#This Row],[H_supp_60]])</f>
        <v>11080</v>
      </c>
      <c r="AB18">
        <f>Heure_Supp100(Tableau4[[#This Row],[Catégorie]],Tableau4[[#This Row],[H_supp_100]])</f>
        <v>0</v>
      </c>
      <c r="AC18">
        <f>salaire_brut_social(X18,Y18,Z18,AA18,AB18,Tableau4[[#This Row],[sursalaire]],Tableau4[[#This Row],[Prime]],Tableau4[[#This Row],[Indemnité]])</f>
        <v>255020.05000000002</v>
      </c>
      <c r="AD18">
        <f>salaire_brut_fiscal(AC18,Tableau4[[#This Row],[Avantages]])</f>
        <v>255020.05000000002</v>
      </c>
      <c r="AE18">
        <f t="shared" si="0"/>
        <v>14281.122800000001</v>
      </c>
    </row>
    <row r="19" spans="1:31" x14ac:dyDescent="0.25">
      <c r="A19">
        <v>18</v>
      </c>
      <c r="B19" t="s">
        <v>161</v>
      </c>
      <c r="C19" t="s">
        <v>162</v>
      </c>
      <c r="D19" t="s">
        <v>163</v>
      </c>
      <c r="E19" t="s">
        <v>164</v>
      </c>
      <c r="F19" t="s">
        <v>165</v>
      </c>
      <c r="G19" s="5" t="s">
        <v>26</v>
      </c>
      <c r="H19" s="5" t="s">
        <v>22</v>
      </c>
      <c r="I19" t="s">
        <v>28</v>
      </c>
      <c r="J19" s="5">
        <v>2</v>
      </c>
      <c r="K19" s="5">
        <v>7</v>
      </c>
      <c r="Q19" s="5">
        <v>10000</v>
      </c>
      <c r="R19" s="5">
        <v>65000</v>
      </c>
      <c r="U19" s="5">
        <v>15000</v>
      </c>
      <c r="X19">
        <f>salaire_base(Tableau4[[#This Row],[Catégorie]])</f>
        <v>469897.63000000006</v>
      </c>
      <c r="Y19">
        <f>Heure_Supp15(Tableau4[[#This Row],[Catégorie]],Tableau4[[#This Row],[H_supp_15]])</f>
        <v>0</v>
      </c>
      <c r="Z19">
        <f>Heure_Supp40(Tableau4[[#This Row],[Catégorie]],Tableau4[[#This Row],[H_supp_40]])</f>
        <v>0</v>
      </c>
      <c r="AA19">
        <f>Heure_Supp60(Tableau4[[#This Row],[Catégorie]],Tableau4[[#This Row],[H_supp_60]])</f>
        <v>0</v>
      </c>
      <c r="AB19">
        <f>Heure_Supp100(Tableau4[[#This Row],[Catégorie]],Tableau4[[#This Row],[H_supp_100]])</f>
        <v>0</v>
      </c>
      <c r="AC19">
        <f>salaire_brut_social(X19,Y19,Z19,AA19,AB19,Tableau4[[#This Row],[sursalaire]],Tableau4[[#This Row],[Prime]],Tableau4[[#This Row],[Indemnité]])</f>
        <v>479897.63000000006</v>
      </c>
      <c r="AD19">
        <f>salaire_brut_fiscal(AC19,Tableau4[[#This Row],[Avantages]])</f>
        <v>544897.63000000012</v>
      </c>
      <c r="AE19">
        <f t="shared" si="0"/>
        <v>20160</v>
      </c>
    </row>
    <row r="20" spans="1:31" x14ac:dyDescent="0.25">
      <c r="A20">
        <v>19</v>
      </c>
      <c r="B20" t="s">
        <v>166</v>
      </c>
      <c r="C20" t="s">
        <v>167</v>
      </c>
      <c r="D20" t="s">
        <v>168</v>
      </c>
      <c r="E20" t="s">
        <v>169</v>
      </c>
      <c r="F20" t="s">
        <v>170</v>
      </c>
      <c r="G20" s="5" t="s">
        <v>26</v>
      </c>
      <c r="H20" s="5" t="s">
        <v>24</v>
      </c>
      <c r="I20" t="s">
        <v>28</v>
      </c>
      <c r="J20" s="5">
        <v>1</v>
      </c>
      <c r="K20" s="5">
        <v>1</v>
      </c>
      <c r="P20" s="5">
        <v>8</v>
      </c>
      <c r="T20" s="5">
        <v>3000</v>
      </c>
      <c r="X20">
        <f>salaire_base(Tableau4[[#This Row],[Catégorie]])</f>
        <v>240062.05000000002</v>
      </c>
      <c r="Y20">
        <f>Heure_Supp15(Tableau4[[#This Row],[Catégorie]],Tableau4[[#This Row],[H_supp_15]])</f>
        <v>0</v>
      </c>
      <c r="Z20">
        <f>Heure_Supp40(Tableau4[[#This Row],[Catégorie]],Tableau4[[#This Row],[H_supp_40]])</f>
        <v>0</v>
      </c>
      <c r="AA20">
        <f>Heure_Supp60(Tableau4[[#This Row],[Catégorie]],Tableau4[[#This Row],[H_supp_60]])</f>
        <v>0</v>
      </c>
      <c r="AB20">
        <f>Heure_Supp100(Tableau4[[#This Row],[Catégorie]],Tableau4[[#This Row],[H_supp_100]])</f>
        <v>22160</v>
      </c>
      <c r="AC20">
        <f>salaire_brut_social(X20,Y20,Z20,AA20,AB20,Tableau4[[#This Row],[sursalaire]],Tableau4[[#This Row],[Prime]],Tableau4[[#This Row],[Indemnité]])</f>
        <v>262222.05000000005</v>
      </c>
      <c r="AD20">
        <f>salaire_brut_fiscal(AC20,Tableau4[[#This Row],[Avantages]])</f>
        <v>262222.05000000005</v>
      </c>
      <c r="AE20">
        <f t="shared" si="0"/>
        <v>14684.434800000003</v>
      </c>
    </row>
    <row r="21" spans="1:31" x14ac:dyDescent="0.25">
      <c r="A21">
        <v>20</v>
      </c>
      <c r="B21" t="s">
        <v>171</v>
      </c>
      <c r="C21" t="s">
        <v>172</v>
      </c>
      <c r="D21" t="s">
        <v>168</v>
      </c>
      <c r="E21" t="s">
        <v>173</v>
      </c>
      <c r="F21" t="s">
        <v>174</v>
      </c>
      <c r="G21" s="5" t="s">
        <v>26</v>
      </c>
      <c r="H21" s="5" t="s">
        <v>23</v>
      </c>
      <c r="I21" t="s">
        <v>28</v>
      </c>
      <c r="J21" s="5">
        <v>1</v>
      </c>
      <c r="K21" s="5">
        <v>3</v>
      </c>
      <c r="L21" s="5">
        <v>13500</v>
      </c>
      <c r="M21" s="5">
        <v>8</v>
      </c>
      <c r="N21" s="5">
        <v>3</v>
      </c>
      <c r="T21" s="5">
        <v>2500</v>
      </c>
      <c r="X21">
        <f>salaire_base(Tableau4[[#This Row],[Catégorie]])</f>
        <v>350126.60000000003</v>
      </c>
      <c r="Y21">
        <f>Heure_Supp15(Tableau4[[#This Row],[Catégorie]],Tableau4[[#This Row],[H_supp_15]])</f>
        <v>18584</v>
      </c>
      <c r="Z21">
        <f>Heure_Supp40(Tableau4[[#This Row],[Catégorie]],Tableau4[[#This Row],[H_supp_40]])</f>
        <v>8484</v>
      </c>
      <c r="AA21">
        <f>Heure_Supp60(Tableau4[[#This Row],[Catégorie]],Tableau4[[#This Row],[H_supp_60]])</f>
        <v>0</v>
      </c>
      <c r="AB21">
        <f>Heure_Supp100(Tableau4[[#This Row],[Catégorie]],Tableau4[[#This Row],[H_supp_100]])</f>
        <v>0</v>
      </c>
      <c r="AC21">
        <f>salaire_brut_social(X21,Y21,Z21,AA21,AB21,Tableau4[[#This Row],[sursalaire]],Tableau4[[#This Row],[Prime]],Tableau4[[#This Row],[Indemnité]])</f>
        <v>390694.60000000003</v>
      </c>
      <c r="AD21">
        <f>salaire_brut_fiscal(AC21,Tableau4[[#This Row],[Avantages]])</f>
        <v>390694.60000000003</v>
      </c>
      <c r="AE21">
        <f t="shared" si="0"/>
        <v>20160</v>
      </c>
    </row>
    <row r="22" spans="1:31" x14ac:dyDescent="0.25">
      <c r="A22">
        <v>21</v>
      </c>
      <c r="B22" t="s">
        <v>176</v>
      </c>
      <c r="C22" t="s">
        <v>177</v>
      </c>
      <c r="D22" t="s">
        <v>94</v>
      </c>
      <c r="E22" s="1">
        <v>28924</v>
      </c>
      <c r="F22" t="s">
        <v>178</v>
      </c>
      <c r="G22" s="5" t="s">
        <v>26</v>
      </c>
      <c r="H22" s="5" t="s">
        <v>23</v>
      </c>
      <c r="I22" t="s">
        <v>28</v>
      </c>
      <c r="J22" s="5">
        <v>2</v>
      </c>
      <c r="K22" s="5">
        <v>4</v>
      </c>
      <c r="M22" s="5">
        <v>8</v>
      </c>
      <c r="N22" s="5">
        <v>4</v>
      </c>
      <c r="O22" s="5">
        <v>4</v>
      </c>
      <c r="P22" s="5">
        <v>6</v>
      </c>
      <c r="S22" s="5">
        <v>20000</v>
      </c>
      <c r="X22">
        <f>salaire_base(Tableau4[[#This Row],[Catégorie]])</f>
        <v>350126.60000000003</v>
      </c>
      <c r="Y22">
        <f>Heure_Supp15(Tableau4[[#This Row],[Catégorie]],Tableau4[[#This Row],[H_supp_15]])</f>
        <v>18584</v>
      </c>
      <c r="Z22">
        <f>Heure_Supp40(Tableau4[[#This Row],[Catégorie]],Tableau4[[#This Row],[H_supp_40]])</f>
        <v>11312</v>
      </c>
      <c r="AA22">
        <f>Heure_Supp60(Tableau4[[#This Row],[Catégorie]],Tableau4[[#This Row],[H_supp_60]])</f>
        <v>12928</v>
      </c>
      <c r="AB22">
        <f>Heure_Supp100(Tableau4[[#This Row],[Catégorie]],Tableau4[[#This Row],[H_supp_100]])</f>
        <v>24240</v>
      </c>
      <c r="AC22">
        <f>salaire_brut_social(X22,Y22,Z22,AA22,AB22,Tableau4[[#This Row],[sursalaire]],Tableau4[[#This Row],[Prime]],Tableau4[[#This Row],[Indemnité]])</f>
        <v>437190.60000000003</v>
      </c>
      <c r="AD22">
        <f>salaire_brut_fiscal(AC22,Tableau4[[#This Row],[Avantages]])</f>
        <v>437190.60000000003</v>
      </c>
      <c r="AE22">
        <f t="shared" si="0"/>
        <v>20160</v>
      </c>
    </row>
    <row r="23" spans="1:31" x14ac:dyDescent="0.25">
      <c r="A23">
        <v>22</v>
      </c>
      <c r="B23" t="s">
        <v>179</v>
      </c>
      <c r="C23" t="s">
        <v>180</v>
      </c>
      <c r="D23" t="s">
        <v>94</v>
      </c>
      <c r="E23" s="1">
        <v>30263</v>
      </c>
      <c r="F23" t="s">
        <v>181</v>
      </c>
      <c r="G23" s="5" t="s">
        <v>25</v>
      </c>
      <c r="H23" s="5" t="s">
        <v>23</v>
      </c>
      <c r="I23" t="s">
        <v>28</v>
      </c>
      <c r="J23" s="5">
        <v>0</v>
      </c>
      <c r="K23" s="5">
        <v>3</v>
      </c>
      <c r="Q23" s="5">
        <v>10000</v>
      </c>
      <c r="X23">
        <f>salaire_base(Tableau4[[#This Row],[Catégorie]])</f>
        <v>350126.60000000003</v>
      </c>
      <c r="Y23">
        <f>Heure_Supp15(Tableau4[[#This Row],[Catégorie]],Tableau4[[#This Row],[H_supp_15]])</f>
        <v>0</v>
      </c>
      <c r="Z23">
        <f>Heure_Supp40(Tableau4[[#This Row],[Catégorie]],Tableau4[[#This Row],[H_supp_40]])</f>
        <v>0</v>
      </c>
      <c r="AA23">
        <f>Heure_Supp60(Tableau4[[#This Row],[Catégorie]],Tableau4[[#This Row],[H_supp_60]])</f>
        <v>0</v>
      </c>
      <c r="AB23">
        <f>Heure_Supp100(Tableau4[[#This Row],[Catégorie]],Tableau4[[#This Row],[H_supp_100]])</f>
        <v>0</v>
      </c>
      <c r="AC23">
        <f>salaire_brut_social(X23,Y23,Z23,AA23,AB23,Tableau4[[#This Row],[sursalaire]],Tableau4[[#This Row],[Prime]],Tableau4[[#This Row],[Indemnité]])</f>
        <v>360126.60000000003</v>
      </c>
      <c r="AD23">
        <f>salaire_brut_fiscal(AC23,Tableau4[[#This Row],[Avantages]])</f>
        <v>360126.60000000003</v>
      </c>
      <c r="AE23">
        <f t="shared" si="0"/>
        <v>20160</v>
      </c>
    </row>
    <row r="24" spans="1:31" x14ac:dyDescent="0.25">
      <c r="A24">
        <v>23</v>
      </c>
      <c r="B24" t="s">
        <v>182</v>
      </c>
      <c r="C24" t="s">
        <v>183</v>
      </c>
      <c r="D24" t="s">
        <v>184</v>
      </c>
      <c r="E24" s="1">
        <v>27489</v>
      </c>
      <c r="F24" t="s">
        <v>185</v>
      </c>
      <c r="G24" s="5" t="s">
        <v>26</v>
      </c>
      <c r="H24" s="5" t="s">
        <v>24</v>
      </c>
      <c r="I24" t="s">
        <v>28</v>
      </c>
      <c r="J24" s="5">
        <v>2</v>
      </c>
      <c r="K24" s="5">
        <v>5</v>
      </c>
      <c r="O24" s="5">
        <v>3</v>
      </c>
      <c r="P24" s="5">
        <v>6</v>
      </c>
      <c r="R24" s="5">
        <v>50000</v>
      </c>
      <c r="X24">
        <f>salaire_base(Tableau4[[#This Row],[Catégorie]])</f>
        <v>240062.05000000002</v>
      </c>
      <c r="Y24">
        <f>Heure_Supp15(Tableau4[[#This Row],[Catégorie]],Tableau4[[#This Row],[H_supp_15]])</f>
        <v>0</v>
      </c>
      <c r="Z24">
        <f>Heure_Supp40(Tableau4[[#This Row],[Catégorie]],Tableau4[[#This Row],[H_supp_40]])</f>
        <v>0</v>
      </c>
      <c r="AA24">
        <f>Heure_Supp60(Tableau4[[#This Row],[Catégorie]],Tableau4[[#This Row],[H_supp_60]])</f>
        <v>6648</v>
      </c>
      <c r="AB24">
        <f>Heure_Supp100(Tableau4[[#This Row],[Catégorie]],Tableau4[[#This Row],[H_supp_100]])</f>
        <v>16620</v>
      </c>
      <c r="AC24">
        <f>salaire_brut_social(X24,Y24,Z24,AA24,AB24,Tableau4[[#This Row],[sursalaire]],Tableau4[[#This Row],[Prime]],Tableau4[[#This Row],[Indemnité]])</f>
        <v>263330.05000000005</v>
      </c>
      <c r="AD24">
        <f>salaire_brut_fiscal(AC24,Tableau4[[#This Row],[Avantages]])</f>
        <v>313330.05000000005</v>
      </c>
      <c r="AE24">
        <f t="shared" si="0"/>
        <v>17546.482800000002</v>
      </c>
    </row>
    <row r="25" spans="1:31" x14ac:dyDescent="0.25">
      <c r="A25">
        <v>24</v>
      </c>
      <c r="B25" t="s">
        <v>186</v>
      </c>
      <c r="C25" t="s">
        <v>187</v>
      </c>
      <c r="D25" t="s">
        <v>188</v>
      </c>
      <c r="E25" t="s">
        <v>189</v>
      </c>
      <c r="F25" t="s">
        <v>190</v>
      </c>
      <c r="G25" s="5" t="s">
        <v>26</v>
      </c>
      <c r="H25" s="5" t="s">
        <v>24</v>
      </c>
      <c r="I25" t="s">
        <v>28</v>
      </c>
      <c r="J25" s="5">
        <v>1</v>
      </c>
      <c r="K25" s="5">
        <v>0</v>
      </c>
      <c r="M25" s="5">
        <v>8</v>
      </c>
      <c r="N25" s="5">
        <v>5</v>
      </c>
      <c r="O25" s="5">
        <v>2</v>
      </c>
      <c r="Q25" s="5">
        <v>10000</v>
      </c>
      <c r="T25" s="5">
        <v>2500</v>
      </c>
      <c r="X25">
        <f>salaire_base(Tableau4[[#This Row],[Catégorie]])</f>
        <v>240062.05000000002</v>
      </c>
      <c r="Y25">
        <f>Heure_Supp15(Tableau4[[#This Row],[Catégorie]],Tableau4[[#This Row],[H_supp_15]])</f>
        <v>12741.999999999998</v>
      </c>
      <c r="Z25">
        <f>Heure_Supp40(Tableau4[[#This Row],[Catégorie]],Tableau4[[#This Row],[H_supp_40]])</f>
        <v>9694.9999999999982</v>
      </c>
      <c r="AA25">
        <f>Heure_Supp60(Tableau4[[#This Row],[Catégorie]],Tableau4[[#This Row],[H_supp_60]])</f>
        <v>4432</v>
      </c>
      <c r="AB25">
        <f>Heure_Supp100(Tableau4[[#This Row],[Catégorie]],Tableau4[[#This Row],[H_supp_100]])</f>
        <v>0</v>
      </c>
      <c r="AC25">
        <f>salaire_brut_social(X25,Y25,Z25,AA25,AB25,Tableau4[[#This Row],[sursalaire]],Tableau4[[#This Row],[Prime]],Tableau4[[#This Row],[Indemnité]])</f>
        <v>276931.05</v>
      </c>
      <c r="AD25">
        <f>salaire_brut_fiscal(AC25,Tableau4[[#This Row],[Avantages]])</f>
        <v>276931.05</v>
      </c>
      <c r="AE25">
        <f t="shared" si="0"/>
        <v>15508.138799999999</v>
      </c>
    </row>
    <row r="26" spans="1:31" x14ac:dyDescent="0.25">
      <c r="A26">
        <v>25</v>
      </c>
      <c r="B26" t="s">
        <v>191</v>
      </c>
      <c r="C26" t="s">
        <v>192</v>
      </c>
      <c r="D26" t="s">
        <v>188</v>
      </c>
      <c r="E26" s="1">
        <v>28525</v>
      </c>
      <c r="F26" t="s">
        <v>193</v>
      </c>
      <c r="G26" s="5" t="s">
        <v>25</v>
      </c>
      <c r="H26" s="5" t="s">
        <v>24</v>
      </c>
      <c r="I26" t="s">
        <v>29</v>
      </c>
      <c r="J26" s="5">
        <v>0</v>
      </c>
      <c r="K26" s="5">
        <v>0</v>
      </c>
      <c r="N26" s="5">
        <v>4</v>
      </c>
      <c r="P26" s="5">
        <v>5</v>
      </c>
      <c r="T26" s="5">
        <v>3000</v>
      </c>
      <c r="U26" s="5">
        <v>30000</v>
      </c>
      <c r="X26">
        <f>salaire_base(Tableau4[[#This Row],[Catégorie]])</f>
        <v>240062.05000000002</v>
      </c>
      <c r="Y26">
        <f>Heure_Supp15(Tableau4[[#This Row],[Catégorie]],Tableau4[[#This Row],[H_supp_15]])</f>
        <v>0</v>
      </c>
      <c r="Z26">
        <f>Heure_Supp40(Tableau4[[#This Row],[Catégorie]],Tableau4[[#This Row],[H_supp_40]])</f>
        <v>7755.9999999999991</v>
      </c>
      <c r="AA26">
        <f>Heure_Supp60(Tableau4[[#This Row],[Catégorie]],Tableau4[[#This Row],[H_supp_60]])</f>
        <v>0</v>
      </c>
      <c r="AB26">
        <f>Heure_Supp100(Tableau4[[#This Row],[Catégorie]],Tableau4[[#This Row],[H_supp_100]])</f>
        <v>13850</v>
      </c>
      <c r="AC26">
        <f>salaire_brut_social(X26,Y26,Z26,AA26,AB26,Tableau4[[#This Row],[sursalaire]],Tableau4[[#This Row],[Prime]],Tableau4[[#This Row],[Indemnité]])</f>
        <v>261668.05000000002</v>
      </c>
      <c r="AD26">
        <f>salaire_brut_fiscal(AC26,Tableau4[[#This Row],[Avantages]])</f>
        <v>261668.05000000002</v>
      </c>
      <c r="AE26">
        <f t="shared" si="0"/>
        <v>14653.410800000001</v>
      </c>
    </row>
    <row r="27" spans="1:31" x14ac:dyDescent="0.25">
      <c r="A27">
        <v>26</v>
      </c>
      <c r="B27" t="s">
        <v>194</v>
      </c>
      <c r="C27" t="s">
        <v>195</v>
      </c>
      <c r="D27" t="s">
        <v>196</v>
      </c>
      <c r="E27" t="s">
        <v>197</v>
      </c>
      <c r="F27" t="s">
        <v>198</v>
      </c>
      <c r="G27" s="5" t="s">
        <v>26</v>
      </c>
      <c r="H27" s="5" t="s">
        <v>24</v>
      </c>
      <c r="I27" t="s">
        <v>29</v>
      </c>
      <c r="J27" s="5">
        <v>0</v>
      </c>
      <c r="K27" s="5">
        <v>0</v>
      </c>
      <c r="L27" s="5">
        <v>12000</v>
      </c>
      <c r="M27" s="5">
        <v>8</v>
      </c>
      <c r="N27" s="5">
        <v>4</v>
      </c>
      <c r="O27" s="5">
        <v>5</v>
      </c>
      <c r="P27" s="5">
        <v>7</v>
      </c>
      <c r="X27">
        <f>salaire_base(Tableau4[[#This Row],[Catégorie]])</f>
        <v>240062.05000000002</v>
      </c>
      <c r="Y27">
        <f>Heure_Supp15(Tableau4[[#This Row],[Catégorie]],Tableau4[[#This Row],[H_supp_15]])</f>
        <v>12741.999999999998</v>
      </c>
      <c r="Z27">
        <f>Heure_Supp40(Tableau4[[#This Row],[Catégorie]],Tableau4[[#This Row],[H_supp_40]])</f>
        <v>7755.9999999999991</v>
      </c>
      <c r="AA27">
        <f>Heure_Supp60(Tableau4[[#This Row],[Catégorie]],Tableau4[[#This Row],[H_supp_60]])</f>
        <v>11080</v>
      </c>
      <c r="AB27">
        <f>Heure_Supp100(Tableau4[[#This Row],[Catégorie]],Tableau4[[#This Row],[H_supp_100]])</f>
        <v>19390</v>
      </c>
      <c r="AC27">
        <f>salaire_brut_social(X27,Y27,Z27,AA27,AB27,Tableau4[[#This Row],[sursalaire]],Tableau4[[#This Row],[Prime]],Tableau4[[#This Row],[Indemnité]])</f>
        <v>303030.05000000005</v>
      </c>
      <c r="AD27">
        <f>salaire_brut_fiscal(AC27,Tableau4[[#This Row],[Avantages]])</f>
        <v>303030.05000000005</v>
      </c>
      <c r="AE27">
        <f t="shared" si="0"/>
        <v>16969.682800000002</v>
      </c>
    </row>
    <row r="28" spans="1:31" x14ac:dyDescent="0.25">
      <c r="A28">
        <v>27</v>
      </c>
      <c r="B28" t="s">
        <v>199</v>
      </c>
      <c r="C28" t="s">
        <v>200</v>
      </c>
      <c r="D28" t="s">
        <v>201</v>
      </c>
      <c r="E28" t="s">
        <v>202</v>
      </c>
      <c r="F28" t="s">
        <v>203</v>
      </c>
      <c r="G28" s="5" t="s">
        <v>26</v>
      </c>
      <c r="H28" s="5" t="s">
        <v>22</v>
      </c>
      <c r="I28" t="s">
        <v>29</v>
      </c>
      <c r="J28" s="5">
        <v>0</v>
      </c>
      <c r="K28" s="5">
        <v>0</v>
      </c>
      <c r="R28" s="5">
        <v>15000</v>
      </c>
      <c r="T28" s="5">
        <v>3000</v>
      </c>
      <c r="X28">
        <f>salaire_base(Tableau4[[#This Row],[Catégorie]])</f>
        <v>469897.63000000006</v>
      </c>
      <c r="Y28">
        <f>Heure_Supp15(Tableau4[[#This Row],[Catégorie]],Tableau4[[#This Row],[H_supp_15]])</f>
        <v>0</v>
      </c>
      <c r="Z28">
        <f>Heure_Supp40(Tableau4[[#This Row],[Catégorie]],Tableau4[[#This Row],[H_supp_40]])</f>
        <v>0</v>
      </c>
      <c r="AA28">
        <f>Heure_Supp60(Tableau4[[#This Row],[Catégorie]],Tableau4[[#This Row],[H_supp_60]])</f>
        <v>0</v>
      </c>
      <c r="AB28">
        <f>Heure_Supp100(Tableau4[[#This Row],[Catégorie]],Tableau4[[#This Row],[H_supp_100]])</f>
        <v>0</v>
      </c>
      <c r="AC28">
        <f>salaire_brut_social(X28,Y28,Z28,AA28,AB28,Tableau4[[#This Row],[sursalaire]],Tableau4[[#This Row],[Prime]],Tableau4[[#This Row],[Indemnité]])</f>
        <v>469897.63000000006</v>
      </c>
      <c r="AD28">
        <f>salaire_brut_fiscal(AC28,Tableau4[[#This Row],[Avantages]])</f>
        <v>484897.63000000006</v>
      </c>
      <c r="AE28">
        <f t="shared" si="0"/>
        <v>20160</v>
      </c>
    </row>
    <row r="29" spans="1:31" x14ac:dyDescent="0.25">
      <c r="A29">
        <v>28</v>
      </c>
      <c r="B29" t="s">
        <v>204</v>
      </c>
      <c r="C29" t="s">
        <v>205</v>
      </c>
      <c r="D29" t="s">
        <v>206</v>
      </c>
      <c r="E29" s="1">
        <v>29901</v>
      </c>
      <c r="F29" t="s">
        <v>207</v>
      </c>
      <c r="G29" s="5" t="s">
        <v>26</v>
      </c>
      <c r="H29" s="5" t="s">
        <v>23</v>
      </c>
      <c r="I29" t="s">
        <v>29</v>
      </c>
      <c r="J29" s="5">
        <v>0</v>
      </c>
      <c r="K29" s="5">
        <v>0</v>
      </c>
      <c r="M29" s="5">
        <v>8</v>
      </c>
      <c r="N29" s="5">
        <v>2</v>
      </c>
      <c r="P29" s="5">
        <v>5</v>
      </c>
      <c r="T29" s="5">
        <v>2500</v>
      </c>
      <c r="X29">
        <f>salaire_base(Tableau4[[#This Row],[Catégorie]])</f>
        <v>350126.60000000003</v>
      </c>
      <c r="Y29">
        <f>Heure_Supp15(Tableau4[[#This Row],[Catégorie]],Tableau4[[#This Row],[H_supp_15]])</f>
        <v>18584</v>
      </c>
      <c r="Z29">
        <f>Heure_Supp40(Tableau4[[#This Row],[Catégorie]],Tableau4[[#This Row],[H_supp_40]])</f>
        <v>5656</v>
      </c>
      <c r="AA29">
        <f>Heure_Supp60(Tableau4[[#This Row],[Catégorie]],Tableau4[[#This Row],[H_supp_60]])</f>
        <v>0</v>
      </c>
      <c r="AB29">
        <f>Heure_Supp100(Tableau4[[#This Row],[Catégorie]],Tableau4[[#This Row],[H_supp_100]])</f>
        <v>20200</v>
      </c>
      <c r="AC29">
        <f>salaire_brut_social(X29,Y29,Z29,AA29,AB29,Tableau4[[#This Row],[sursalaire]],Tableau4[[#This Row],[Prime]],Tableau4[[#This Row],[Indemnité]])</f>
        <v>394566.60000000003</v>
      </c>
      <c r="AD29">
        <f>salaire_brut_fiscal(AC29,Tableau4[[#This Row],[Avantages]])</f>
        <v>394566.60000000003</v>
      </c>
      <c r="AE29">
        <f t="shared" si="0"/>
        <v>20160</v>
      </c>
    </row>
    <row r="30" spans="1:31" x14ac:dyDescent="0.25">
      <c r="A30">
        <v>29</v>
      </c>
      <c r="B30" t="s">
        <v>208</v>
      </c>
      <c r="C30" t="s">
        <v>209</v>
      </c>
      <c r="D30" t="s">
        <v>210</v>
      </c>
      <c r="E30" s="1">
        <v>31083</v>
      </c>
      <c r="F30" t="s">
        <v>211</v>
      </c>
      <c r="G30" s="5" t="s">
        <v>25</v>
      </c>
      <c r="H30" s="5" t="s">
        <v>22</v>
      </c>
      <c r="I30" t="s">
        <v>28</v>
      </c>
      <c r="J30" s="5">
        <v>0</v>
      </c>
      <c r="K30" s="5">
        <v>2</v>
      </c>
      <c r="Q30" s="5">
        <v>10000</v>
      </c>
      <c r="R30" s="5">
        <v>17500</v>
      </c>
      <c r="X30">
        <f>salaire_base(Tableau4[[#This Row],[Catégorie]])</f>
        <v>469897.63000000006</v>
      </c>
      <c r="Y30">
        <f>Heure_Supp15(Tableau4[[#This Row],[Catégorie]],Tableau4[[#This Row],[H_supp_15]])</f>
        <v>0</v>
      </c>
      <c r="Z30">
        <f>Heure_Supp40(Tableau4[[#This Row],[Catégorie]],Tableau4[[#This Row],[H_supp_40]])</f>
        <v>0</v>
      </c>
      <c r="AA30">
        <f>Heure_Supp60(Tableau4[[#This Row],[Catégorie]],Tableau4[[#This Row],[H_supp_60]])</f>
        <v>0</v>
      </c>
      <c r="AB30">
        <f>Heure_Supp100(Tableau4[[#This Row],[Catégorie]],Tableau4[[#This Row],[H_supp_100]])</f>
        <v>0</v>
      </c>
      <c r="AC30">
        <f>salaire_brut_social(X30,Y30,Z30,AA30,AB30,Tableau4[[#This Row],[sursalaire]],Tableau4[[#This Row],[Prime]],Tableau4[[#This Row],[Indemnité]])</f>
        <v>479897.63000000006</v>
      </c>
      <c r="AD30">
        <f>salaire_brut_fiscal(AC30,Tableau4[[#This Row],[Avantages]])</f>
        <v>497397.63000000006</v>
      </c>
      <c r="AE30">
        <f t="shared" si="0"/>
        <v>20160</v>
      </c>
    </row>
    <row r="31" spans="1:31" x14ac:dyDescent="0.25">
      <c r="A31">
        <v>30</v>
      </c>
      <c r="B31" t="s">
        <v>212</v>
      </c>
      <c r="C31" t="s">
        <v>213</v>
      </c>
      <c r="D31" t="s">
        <v>214</v>
      </c>
      <c r="E31" t="s">
        <v>215</v>
      </c>
      <c r="F31" t="s">
        <v>216</v>
      </c>
      <c r="G31" s="5" t="s">
        <v>26</v>
      </c>
      <c r="H31" s="5" t="s">
        <v>22</v>
      </c>
      <c r="I31" t="s">
        <v>28</v>
      </c>
      <c r="J31" s="5">
        <v>3</v>
      </c>
      <c r="K31" s="5">
        <v>7</v>
      </c>
      <c r="Q31" s="5">
        <v>8000</v>
      </c>
      <c r="T31" s="5">
        <v>3000</v>
      </c>
      <c r="U31" s="5">
        <v>12500</v>
      </c>
      <c r="X31">
        <f>salaire_base(Tableau4[[#This Row],[Catégorie]])</f>
        <v>469897.63000000006</v>
      </c>
      <c r="Y31">
        <f>Heure_Supp15(Tableau4[[#This Row],[Catégorie]],Tableau4[[#This Row],[H_supp_15]])</f>
        <v>0</v>
      </c>
      <c r="Z31">
        <f>Heure_Supp40(Tableau4[[#This Row],[Catégorie]],Tableau4[[#This Row],[H_supp_40]])</f>
        <v>0</v>
      </c>
      <c r="AA31">
        <f>Heure_Supp60(Tableau4[[#This Row],[Catégorie]],Tableau4[[#This Row],[H_supp_60]])</f>
        <v>0</v>
      </c>
      <c r="AB31">
        <f>Heure_Supp100(Tableau4[[#This Row],[Catégorie]],Tableau4[[#This Row],[H_supp_100]])</f>
        <v>0</v>
      </c>
      <c r="AC31">
        <f>salaire_brut_social(X31,Y31,Z31,AA31,AB31,Tableau4[[#This Row],[sursalaire]],Tableau4[[#This Row],[Prime]],Tableau4[[#This Row],[Indemnité]])</f>
        <v>477897.63000000006</v>
      </c>
      <c r="AD31">
        <f>salaire_brut_fiscal(AC31,Tableau4[[#This Row],[Avantages]])</f>
        <v>477897.63000000006</v>
      </c>
      <c r="AE31">
        <f t="shared" si="0"/>
        <v>20160</v>
      </c>
    </row>
    <row r="32" spans="1:31" x14ac:dyDescent="0.25">
      <c r="A32">
        <v>31</v>
      </c>
      <c r="B32" t="s">
        <v>217</v>
      </c>
      <c r="C32" t="s">
        <v>218</v>
      </c>
      <c r="D32" t="s">
        <v>219</v>
      </c>
      <c r="E32" t="s">
        <v>173</v>
      </c>
      <c r="F32" t="s">
        <v>220</v>
      </c>
      <c r="G32" s="5" t="s">
        <v>26</v>
      </c>
      <c r="H32" s="5" t="s">
        <v>22</v>
      </c>
      <c r="I32" t="s">
        <v>28</v>
      </c>
      <c r="J32" s="5">
        <v>1</v>
      </c>
      <c r="K32" s="5">
        <v>5</v>
      </c>
      <c r="R32" s="5">
        <v>10000</v>
      </c>
      <c r="S32" s="5">
        <v>20000</v>
      </c>
      <c r="X32">
        <f>salaire_base(Tableau4[[#This Row],[Catégorie]])</f>
        <v>469897.63000000006</v>
      </c>
      <c r="Y32">
        <f>Heure_Supp15(Tableau4[[#This Row],[Catégorie]],Tableau4[[#This Row],[H_supp_15]])</f>
        <v>0</v>
      </c>
      <c r="Z32">
        <f>Heure_Supp40(Tableau4[[#This Row],[Catégorie]],Tableau4[[#This Row],[H_supp_40]])</f>
        <v>0</v>
      </c>
      <c r="AA32">
        <f>Heure_Supp60(Tableau4[[#This Row],[Catégorie]],Tableau4[[#This Row],[H_supp_60]])</f>
        <v>0</v>
      </c>
      <c r="AB32">
        <f>Heure_Supp100(Tableau4[[#This Row],[Catégorie]],Tableau4[[#This Row],[H_supp_100]])</f>
        <v>0</v>
      </c>
      <c r="AC32">
        <f>salaire_brut_social(X32,Y32,Z32,AA32,AB32,Tableau4[[#This Row],[sursalaire]],Tableau4[[#This Row],[Prime]],Tableau4[[#This Row],[Indemnité]])</f>
        <v>489897.63000000006</v>
      </c>
      <c r="AD32">
        <f>salaire_brut_fiscal(AC32,Tableau4[[#This Row],[Avantages]])</f>
        <v>499897.63000000006</v>
      </c>
      <c r="AE32">
        <f t="shared" si="0"/>
        <v>20160</v>
      </c>
    </row>
    <row r="33" spans="1:31" x14ac:dyDescent="0.25">
      <c r="A33">
        <v>32</v>
      </c>
      <c r="B33" t="s">
        <v>221</v>
      </c>
      <c r="C33" t="s">
        <v>222</v>
      </c>
      <c r="D33" t="s">
        <v>223</v>
      </c>
      <c r="E33" s="1">
        <v>31110</v>
      </c>
      <c r="F33" t="s">
        <v>224</v>
      </c>
      <c r="G33" s="5" t="s">
        <v>26</v>
      </c>
      <c r="H33" s="5" t="s">
        <v>23</v>
      </c>
      <c r="I33" t="s">
        <v>28</v>
      </c>
      <c r="J33" s="5">
        <v>1</v>
      </c>
      <c r="K33" s="5">
        <v>3</v>
      </c>
      <c r="P33" s="5">
        <v>3</v>
      </c>
      <c r="T33" s="5">
        <v>3000</v>
      </c>
      <c r="X33">
        <f>salaire_base(Tableau4[[#This Row],[Catégorie]])</f>
        <v>350126.60000000003</v>
      </c>
      <c r="Y33">
        <f>Heure_Supp15(Tableau4[[#This Row],[Catégorie]],Tableau4[[#This Row],[H_supp_15]])</f>
        <v>0</v>
      </c>
      <c r="Z33">
        <f>Heure_Supp40(Tableau4[[#This Row],[Catégorie]],Tableau4[[#This Row],[H_supp_40]])</f>
        <v>0</v>
      </c>
      <c r="AA33">
        <f>Heure_Supp60(Tableau4[[#This Row],[Catégorie]],Tableau4[[#This Row],[H_supp_60]])</f>
        <v>0</v>
      </c>
      <c r="AB33">
        <f>Heure_Supp100(Tableau4[[#This Row],[Catégorie]],Tableau4[[#This Row],[H_supp_100]])</f>
        <v>12120</v>
      </c>
      <c r="AC33">
        <f>salaire_brut_social(X33,Y33,Z33,AA33,AB33,Tableau4[[#This Row],[sursalaire]],Tableau4[[#This Row],[Prime]],Tableau4[[#This Row],[Indemnité]])</f>
        <v>362246.60000000003</v>
      </c>
      <c r="AD33">
        <f>salaire_brut_fiscal(AC33,Tableau4[[#This Row],[Avantages]])</f>
        <v>362246.60000000003</v>
      </c>
      <c r="AE33">
        <f t="shared" si="0"/>
        <v>20160</v>
      </c>
    </row>
    <row r="34" spans="1:31" x14ac:dyDescent="0.25">
      <c r="A34">
        <v>33</v>
      </c>
      <c r="B34" t="s">
        <v>225</v>
      </c>
      <c r="C34" t="s">
        <v>226</v>
      </c>
      <c r="D34" t="s">
        <v>227</v>
      </c>
      <c r="E34" s="1">
        <v>28377</v>
      </c>
      <c r="F34" t="s">
        <v>228</v>
      </c>
      <c r="G34" s="5" t="s">
        <v>26</v>
      </c>
      <c r="H34" s="5" t="s">
        <v>23</v>
      </c>
      <c r="I34" t="s">
        <v>28</v>
      </c>
      <c r="J34" s="5">
        <v>1</v>
      </c>
      <c r="K34" s="5">
        <v>4</v>
      </c>
      <c r="P34" s="5">
        <v>6</v>
      </c>
      <c r="T34" s="5">
        <v>3000</v>
      </c>
      <c r="X34">
        <f>salaire_base(Tableau4[[#This Row],[Catégorie]])</f>
        <v>350126.60000000003</v>
      </c>
      <c r="Y34">
        <f>Heure_Supp15(Tableau4[[#This Row],[Catégorie]],Tableau4[[#This Row],[H_supp_15]])</f>
        <v>0</v>
      </c>
      <c r="Z34">
        <f>Heure_Supp40(Tableau4[[#This Row],[Catégorie]],Tableau4[[#This Row],[H_supp_40]])</f>
        <v>0</v>
      </c>
      <c r="AA34">
        <f>Heure_Supp60(Tableau4[[#This Row],[Catégorie]],Tableau4[[#This Row],[H_supp_60]])</f>
        <v>0</v>
      </c>
      <c r="AB34">
        <f>Heure_Supp100(Tableau4[[#This Row],[Catégorie]],Tableau4[[#This Row],[H_supp_100]])</f>
        <v>24240</v>
      </c>
      <c r="AC34">
        <f>salaire_brut_social(X34,Y34,Z34,AA34,AB34,Tableau4[[#This Row],[sursalaire]],Tableau4[[#This Row],[Prime]],Tableau4[[#This Row],[Indemnité]])</f>
        <v>374366.60000000003</v>
      </c>
      <c r="AD34">
        <f>salaire_brut_fiscal(AC34,Tableau4[[#This Row],[Avantages]])</f>
        <v>374366.60000000003</v>
      </c>
      <c r="AE34">
        <f t="shared" si="0"/>
        <v>20160</v>
      </c>
    </row>
    <row r="35" spans="1:31" x14ac:dyDescent="0.25">
      <c r="A35">
        <v>34</v>
      </c>
      <c r="B35" t="s">
        <v>229</v>
      </c>
      <c r="C35" t="s">
        <v>230</v>
      </c>
      <c r="D35" t="s">
        <v>231</v>
      </c>
      <c r="E35" s="1">
        <v>27672</v>
      </c>
      <c r="F35" t="s">
        <v>232</v>
      </c>
      <c r="G35" s="5" t="s">
        <v>25</v>
      </c>
      <c r="H35" s="5" t="s">
        <v>23</v>
      </c>
      <c r="I35" t="s">
        <v>28</v>
      </c>
      <c r="J35" s="5">
        <v>0</v>
      </c>
      <c r="K35" s="5">
        <v>2</v>
      </c>
      <c r="M35" s="5">
        <v>8</v>
      </c>
      <c r="R35" s="5">
        <v>14500</v>
      </c>
      <c r="S35" s="5">
        <v>25000</v>
      </c>
      <c r="U35" s="5">
        <v>10000</v>
      </c>
      <c r="X35">
        <f>salaire_base(Tableau4[[#This Row],[Catégorie]])</f>
        <v>350126.60000000003</v>
      </c>
      <c r="Y35">
        <f>Heure_Supp15(Tableau4[[#This Row],[Catégorie]],Tableau4[[#This Row],[H_supp_15]])</f>
        <v>18584</v>
      </c>
      <c r="Z35">
        <f>Heure_Supp40(Tableau4[[#This Row],[Catégorie]],Tableau4[[#This Row],[H_supp_40]])</f>
        <v>0</v>
      </c>
      <c r="AA35">
        <f>Heure_Supp60(Tableau4[[#This Row],[Catégorie]],Tableau4[[#This Row],[H_supp_60]])</f>
        <v>0</v>
      </c>
      <c r="AB35">
        <f>Heure_Supp100(Tableau4[[#This Row],[Catégorie]],Tableau4[[#This Row],[H_supp_100]])</f>
        <v>0</v>
      </c>
      <c r="AC35">
        <f>salaire_brut_social(X35,Y35,Z35,AA35,AB35,Tableau4[[#This Row],[sursalaire]],Tableau4[[#This Row],[Prime]],Tableau4[[#This Row],[Indemnité]])</f>
        <v>393710.60000000003</v>
      </c>
      <c r="AD35">
        <f>salaire_brut_fiscal(AC35,Tableau4[[#This Row],[Avantages]])</f>
        <v>408210.60000000003</v>
      </c>
      <c r="AE35">
        <f t="shared" si="0"/>
        <v>20160</v>
      </c>
    </row>
    <row r="36" spans="1:31" x14ac:dyDescent="0.25">
      <c r="A36">
        <v>35</v>
      </c>
      <c r="B36" t="s">
        <v>233</v>
      </c>
      <c r="C36" t="s">
        <v>234</v>
      </c>
      <c r="D36" t="s">
        <v>235</v>
      </c>
      <c r="E36" t="s">
        <v>236</v>
      </c>
      <c r="F36" t="s">
        <v>237</v>
      </c>
      <c r="G36" s="5" t="s">
        <v>26</v>
      </c>
      <c r="H36" s="5" t="s">
        <v>23</v>
      </c>
      <c r="I36" t="s">
        <v>28</v>
      </c>
      <c r="J36" s="5">
        <v>2</v>
      </c>
      <c r="K36" s="5">
        <v>4</v>
      </c>
      <c r="P36" s="5">
        <v>2</v>
      </c>
      <c r="X36">
        <f>salaire_base(Tableau4[[#This Row],[Catégorie]])</f>
        <v>350126.60000000003</v>
      </c>
      <c r="Y36">
        <f>Heure_Supp15(Tableau4[[#This Row],[Catégorie]],Tableau4[[#This Row],[H_supp_15]])</f>
        <v>0</v>
      </c>
      <c r="Z36">
        <f>Heure_Supp40(Tableau4[[#This Row],[Catégorie]],Tableau4[[#This Row],[H_supp_40]])</f>
        <v>0</v>
      </c>
      <c r="AA36">
        <f>Heure_Supp60(Tableau4[[#This Row],[Catégorie]],Tableau4[[#This Row],[H_supp_60]])</f>
        <v>0</v>
      </c>
      <c r="AB36">
        <f>Heure_Supp100(Tableau4[[#This Row],[Catégorie]],Tableau4[[#This Row],[H_supp_100]])</f>
        <v>8080</v>
      </c>
      <c r="AC36">
        <f>salaire_brut_social(X36,Y36,Z36,AA36,AB36,Tableau4[[#This Row],[sursalaire]],Tableau4[[#This Row],[Prime]],Tableau4[[#This Row],[Indemnité]])</f>
        <v>358206.60000000003</v>
      </c>
      <c r="AD36">
        <f>salaire_brut_fiscal(AC36,Tableau4[[#This Row],[Avantages]])</f>
        <v>358206.60000000003</v>
      </c>
      <c r="AE36">
        <f t="shared" si="0"/>
        <v>20059.569600000003</v>
      </c>
    </row>
    <row r="37" spans="1:31" x14ac:dyDescent="0.25">
      <c r="A37">
        <v>36</v>
      </c>
      <c r="B37" t="s">
        <v>238</v>
      </c>
      <c r="C37" t="s">
        <v>239</v>
      </c>
      <c r="D37" t="s">
        <v>240</v>
      </c>
      <c r="E37" t="s">
        <v>241</v>
      </c>
      <c r="F37" t="s">
        <v>242</v>
      </c>
      <c r="G37" s="5" t="s">
        <v>26</v>
      </c>
      <c r="H37" s="5" t="s">
        <v>23</v>
      </c>
      <c r="I37" t="s">
        <v>28</v>
      </c>
      <c r="J37" s="5">
        <v>1</v>
      </c>
      <c r="K37" s="5">
        <v>6</v>
      </c>
      <c r="P37" s="5">
        <v>4</v>
      </c>
      <c r="U37" s="5">
        <v>13000</v>
      </c>
      <c r="X37">
        <f>salaire_base(Tableau4[[#This Row],[Catégorie]])</f>
        <v>350126.60000000003</v>
      </c>
      <c r="Y37">
        <f>Heure_Supp15(Tableau4[[#This Row],[Catégorie]],Tableau4[[#This Row],[H_supp_15]])</f>
        <v>0</v>
      </c>
      <c r="Z37">
        <f>Heure_Supp40(Tableau4[[#This Row],[Catégorie]],Tableau4[[#This Row],[H_supp_40]])</f>
        <v>0</v>
      </c>
      <c r="AA37">
        <f>Heure_Supp60(Tableau4[[#This Row],[Catégorie]],Tableau4[[#This Row],[H_supp_60]])</f>
        <v>0</v>
      </c>
      <c r="AB37">
        <f>Heure_Supp100(Tableau4[[#This Row],[Catégorie]],Tableau4[[#This Row],[H_supp_100]])</f>
        <v>16160</v>
      </c>
      <c r="AC37">
        <f>salaire_brut_social(X37,Y37,Z37,AA37,AB37,Tableau4[[#This Row],[sursalaire]],Tableau4[[#This Row],[Prime]],Tableau4[[#This Row],[Indemnité]])</f>
        <v>366286.60000000003</v>
      </c>
      <c r="AD37">
        <f>salaire_brut_fiscal(AC37,Tableau4[[#This Row],[Avantages]])</f>
        <v>366286.60000000003</v>
      </c>
      <c r="AE37">
        <f t="shared" si="0"/>
        <v>20160</v>
      </c>
    </row>
    <row r="38" spans="1:31" x14ac:dyDescent="0.25">
      <c r="A38">
        <v>37</v>
      </c>
      <c r="B38" t="s">
        <v>243</v>
      </c>
      <c r="C38" t="s">
        <v>223</v>
      </c>
      <c r="D38" t="s">
        <v>244</v>
      </c>
      <c r="E38" s="1">
        <v>28501</v>
      </c>
      <c r="F38" t="s">
        <v>134</v>
      </c>
      <c r="G38" s="5" t="s">
        <v>26</v>
      </c>
      <c r="H38" s="5" t="s">
        <v>24</v>
      </c>
      <c r="I38" t="s">
        <v>29</v>
      </c>
      <c r="J38" s="5">
        <v>0</v>
      </c>
      <c r="K38" s="5">
        <v>0</v>
      </c>
      <c r="L38" s="5">
        <v>10000</v>
      </c>
      <c r="T38" s="5">
        <v>3000</v>
      </c>
      <c r="X38">
        <f>salaire_base(Tableau4[[#This Row],[Catégorie]])</f>
        <v>240062.05000000002</v>
      </c>
      <c r="Y38">
        <f>Heure_Supp15(Tableau4[[#This Row],[Catégorie]],Tableau4[[#This Row],[H_supp_15]])</f>
        <v>0</v>
      </c>
      <c r="Z38">
        <f>Heure_Supp40(Tableau4[[#This Row],[Catégorie]],Tableau4[[#This Row],[H_supp_40]])</f>
        <v>0</v>
      </c>
      <c r="AA38">
        <f>Heure_Supp60(Tableau4[[#This Row],[Catégorie]],Tableau4[[#This Row],[H_supp_60]])</f>
        <v>0</v>
      </c>
      <c r="AB38">
        <f>Heure_Supp100(Tableau4[[#This Row],[Catégorie]],Tableau4[[#This Row],[H_supp_100]])</f>
        <v>0</v>
      </c>
      <c r="AC38">
        <f>salaire_brut_social(X38,Y38,Z38,AA38,AB38,Tableau4[[#This Row],[sursalaire]],Tableau4[[#This Row],[Prime]],Tableau4[[#This Row],[Indemnité]])</f>
        <v>250062.05000000002</v>
      </c>
      <c r="AD38">
        <f>salaire_brut_fiscal(AC38,Tableau4[[#This Row],[Avantages]])</f>
        <v>250062.05000000002</v>
      </c>
      <c r="AE38">
        <f t="shared" si="0"/>
        <v>14003.474800000002</v>
      </c>
    </row>
    <row r="39" spans="1:31" x14ac:dyDescent="0.25">
      <c r="A39">
        <v>38</v>
      </c>
      <c r="B39" t="s">
        <v>245</v>
      </c>
      <c r="C39" t="s">
        <v>246</v>
      </c>
      <c r="D39" t="s">
        <v>244</v>
      </c>
      <c r="E39" t="s">
        <v>247</v>
      </c>
      <c r="F39" t="s">
        <v>139</v>
      </c>
      <c r="G39" s="5" t="s">
        <v>26</v>
      </c>
      <c r="H39" s="5" t="s">
        <v>22</v>
      </c>
      <c r="I39" t="s">
        <v>29</v>
      </c>
      <c r="J39" s="5">
        <v>0</v>
      </c>
      <c r="K39" s="5">
        <v>0</v>
      </c>
      <c r="Q39" s="5">
        <v>10000</v>
      </c>
      <c r="R39" s="5">
        <v>15000</v>
      </c>
      <c r="U39" s="5">
        <v>10000</v>
      </c>
      <c r="X39">
        <f>salaire_base(Tableau4[[#This Row],[Catégorie]])</f>
        <v>469897.63000000006</v>
      </c>
      <c r="Y39">
        <f>Heure_Supp15(Tableau4[[#This Row],[Catégorie]],Tableau4[[#This Row],[H_supp_15]])</f>
        <v>0</v>
      </c>
      <c r="Z39">
        <f>Heure_Supp40(Tableau4[[#This Row],[Catégorie]],Tableau4[[#This Row],[H_supp_40]])</f>
        <v>0</v>
      </c>
      <c r="AA39">
        <f>Heure_Supp60(Tableau4[[#This Row],[Catégorie]],Tableau4[[#This Row],[H_supp_60]])</f>
        <v>0</v>
      </c>
      <c r="AB39">
        <f>Heure_Supp100(Tableau4[[#This Row],[Catégorie]],Tableau4[[#This Row],[H_supp_100]])</f>
        <v>0</v>
      </c>
      <c r="AC39">
        <f>salaire_brut_social(X39,Y39,Z39,AA39,AB39,Tableau4[[#This Row],[sursalaire]],Tableau4[[#This Row],[Prime]],Tableau4[[#This Row],[Indemnité]])</f>
        <v>479897.63000000006</v>
      </c>
      <c r="AD39">
        <f>salaire_brut_fiscal(AC39,Tableau4[[#This Row],[Avantages]])</f>
        <v>494897.63000000006</v>
      </c>
      <c r="AE39">
        <f t="shared" si="0"/>
        <v>20160</v>
      </c>
    </row>
    <row r="40" spans="1:31" x14ac:dyDescent="0.25">
      <c r="A40">
        <v>39</v>
      </c>
      <c r="B40" t="s">
        <v>248</v>
      </c>
      <c r="C40" t="s">
        <v>249</v>
      </c>
      <c r="D40" t="s">
        <v>250</v>
      </c>
      <c r="E40" t="s">
        <v>251</v>
      </c>
      <c r="F40" t="s">
        <v>114</v>
      </c>
      <c r="G40" s="5" t="s">
        <v>25</v>
      </c>
      <c r="H40" s="5" t="s">
        <v>24</v>
      </c>
      <c r="I40" t="s">
        <v>29</v>
      </c>
      <c r="J40" s="5">
        <v>0</v>
      </c>
      <c r="K40" s="5">
        <v>0</v>
      </c>
      <c r="X40">
        <f>salaire_base(Tableau4[[#This Row],[Catégorie]])</f>
        <v>240062.05000000002</v>
      </c>
      <c r="Y40">
        <f>Heure_Supp15(Tableau4[[#This Row],[Catégorie]],Tableau4[[#This Row],[H_supp_15]])</f>
        <v>0</v>
      </c>
      <c r="Z40">
        <f>Heure_Supp40(Tableau4[[#This Row],[Catégorie]],Tableau4[[#This Row],[H_supp_40]])</f>
        <v>0</v>
      </c>
      <c r="AA40">
        <f>Heure_Supp60(Tableau4[[#This Row],[Catégorie]],Tableau4[[#This Row],[H_supp_60]])</f>
        <v>0</v>
      </c>
      <c r="AB40">
        <f>Heure_Supp100(Tableau4[[#This Row],[Catégorie]],Tableau4[[#This Row],[H_supp_100]])</f>
        <v>0</v>
      </c>
      <c r="AC40">
        <f>salaire_brut_social(X40,Y40,Z40,AA40,AB40,Tableau4[[#This Row],[sursalaire]],Tableau4[[#This Row],[Prime]],Tableau4[[#This Row],[Indemnité]])</f>
        <v>240062.05000000002</v>
      </c>
      <c r="AD40">
        <f>salaire_brut_fiscal(AC40,Tableau4[[#This Row],[Avantages]])</f>
        <v>240062.05000000002</v>
      </c>
      <c r="AE40">
        <f t="shared" si="0"/>
        <v>13443.474800000002</v>
      </c>
    </row>
    <row r="41" spans="1:31" x14ac:dyDescent="0.25">
      <c r="A41">
        <v>40</v>
      </c>
      <c r="B41" t="s">
        <v>252</v>
      </c>
      <c r="C41" t="s">
        <v>253</v>
      </c>
      <c r="D41" t="s">
        <v>250</v>
      </c>
      <c r="E41" t="s">
        <v>254</v>
      </c>
      <c r="F41" t="s">
        <v>51</v>
      </c>
      <c r="G41" s="5" t="s">
        <v>25</v>
      </c>
      <c r="H41" s="5" t="s">
        <v>24</v>
      </c>
      <c r="I41" t="s">
        <v>29</v>
      </c>
      <c r="J41" s="5">
        <v>0</v>
      </c>
      <c r="K41" s="5">
        <v>0</v>
      </c>
      <c r="M41" s="5">
        <v>8</v>
      </c>
      <c r="N41" s="5">
        <v>5</v>
      </c>
      <c r="T41" s="5">
        <v>5000</v>
      </c>
      <c r="X41">
        <f>salaire_base(Tableau4[[#This Row],[Catégorie]])</f>
        <v>240062.05000000002</v>
      </c>
      <c r="Y41">
        <f>Heure_Supp15(Tableau4[[#This Row],[Catégorie]],Tableau4[[#This Row],[H_supp_15]])</f>
        <v>12741.999999999998</v>
      </c>
      <c r="Z41">
        <f>Heure_Supp40(Tableau4[[#This Row],[Catégorie]],Tableau4[[#This Row],[H_supp_40]])</f>
        <v>9694.9999999999982</v>
      </c>
      <c r="AA41">
        <f>Heure_Supp60(Tableau4[[#This Row],[Catégorie]],Tableau4[[#This Row],[H_supp_60]])</f>
        <v>0</v>
      </c>
      <c r="AB41">
        <f>Heure_Supp100(Tableau4[[#This Row],[Catégorie]],Tableau4[[#This Row],[H_supp_100]])</f>
        <v>0</v>
      </c>
      <c r="AC41">
        <f>salaire_brut_social(X41,Y41,Z41,AA41,AB41,Tableau4[[#This Row],[sursalaire]],Tableau4[[#This Row],[Prime]],Tableau4[[#This Row],[Indemnité]])</f>
        <v>262499.05</v>
      </c>
      <c r="AD41">
        <f>salaire_brut_fiscal(AC41,Tableau4[[#This Row],[Avantages]])</f>
        <v>262499.05</v>
      </c>
      <c r="AE41">
        <f t="shared" si="0"/>
        <v>14699.9468</v>
      </c>
    </row>
    <row r="42" spans="1:31" x14ac:dyDescent="0.25">
      <c r="A42">
        <v>41</v>
      </c>
      <c r="B42" t="s">
        <v>255</v>
      </c>
      <c r="C42" t="s">
        <v>256</v>
      </c>
      <c r="D42" t="s">
        <v>257</v>
      </c>
      <c r="E42" t="s">
        <v>258</v>
      </c>
      <c r="F42" t="s">
        <v>36</v>
      </c>
      <c r="G42" s="5" t="s">
        <v>26</v>
      </c>
      <c r="H42" s="5" t="s">
        <v>22</v>
      </c>
      <c r="I42" t="s">
        <v>29</v>
      </c>
      <c r="J42" s="5">
        <v>0</v>
      </c>
      <c r="K42" s="5">
        <v>1</v>
      </c>
      <c r="R42" s="5">
        <v>55000</v>
      </c>
      <c r="T42" s="5">
        <v>2500</v>
      </c>
      <c r="V42" s="5">
        <v>30000</v>
      </c>
      <c r="X42">
        <f>salaire_base(Tableau4[[#This Row],[Catégorie]])</f>
        <v>469897.63000000006</v>
      </c>
      <c r="Y42">
        <f>Heure_Supp15(Tableau4[[#This Row],[Catégorie]],Tableau4[[#This Row],[H_supp_15]])</f>
        <v>0</v>
      </c>
      <c r="Z42">
        <f>Heure_Supp40(Tableau4[[#This Row],[Catégorie]],Tableau4[[#This Row],[H_supp_40]])</f>
        <v>0</v>
      </c>
      <c r="AA42">
        <f>Heure_Supp60(Tableau4[[#This Row],[Catégorie]],Tableau4[[#This Row],[H_supp_60]])</f>
        <v>0</v>
      </c>
      <c r="AB42">
        <f>Heure_Supp100(Tableau4[[#This Row],[Catégorie]],Tableau4[[#This Row],[H_supp_100]])</f>
        <v>0</v>
      </c>
      <c r="AC42">
        <f>salaire_brut_social(X42,Y42,Z42,AA42,AB42,Tableau4[[#This Row],[sursalaire]],Tableau4[[#This Row],[Prime]],Tableau4[[#This Row],[Indemnité]])</f>
        <v>469897.63000000006</v>
      </c>
      <c r="AD42">
        <f>salaire_brut_fiscal(AC42,Tableau4[[#This Row],[Avantages]])</f>
        <v>524897.63000000012</v>
      </c>
      <c r="AE42">
        <f t="shared" si="0"/>
        <v>20160</v>
      </c>
    </row>
    <row r="43" spans="1:31" x14ac:dyDescent="0.25">
      <c r="A43">
        <v>42</v>
      </c>
      <c r="B43" t="s">
        <v>259</v>
      </c>
      <c r="C43" t="s">
        <v>260</v>
      </c>
      <c r="D43" t="s">
        <v>261</v>
      </c>
      <c r="E43" t="s">
        <v>262</v>
      </c>
      <c r="F43" t="s">
        <v>31</v>
      </c>
      <c r="G43" s="5" t="s">
        <v>26</v>
      </c>
      <c r="H43" s="5" t="s">
        <v>24</v>
      </c>
      <c r="I43" t="s">
        <v>28</v>
      </c>
      <c r="J43" s="5">
        <v>2</v>
      </c>
      <c r="K43" s="5">
        <v>5</v>
      </c>
      <c r="U43" s="5">
        <v>10000</v>
      </c>
      <c r="X43">
        <f>salaire_base(Tableau4[[#This Row],[Catégorie]])</f>
        <v>240062.05000000002</v>
      </c>
      <c r="Y43">
        <f>Heure_Supp15(Tableau4[[#This Row],[Catégorie]],Tableau4[[#This Row],[H_supp_15]])</f>
        <v>0</v>
      </c>
      <c r="Z43">
        <f>Heure_Supp40(Tableau4[[#This Row],[Catégorie]],Tableau4[[#This Row],[H_supp_40]])</f>
        <v>0</v>
      </c>
      <c r="AA43">
        <f>Heure_Supp60(Tableau4[[#This Row],[Catégorie]],Tableau4[[#This Row],[H_supp_60]])</f>
        <v>0</v>
      </c>
      <c r="AB43">
        <f>Heure_Supp100(Tableau4[[#This Row],[Catégorie]],Tableau4[[#This Row],[H_supp_100]])</f>
        <v>0</v>
      </c>
      <c r="AC43">
        <f>salaire_brut_social(X43,Y43,Z43,AA43,AB43,Tableau4[[#This Row],[sursalaire]],Tableau4[[#This Row],[Prime]],Tableau4[[#This Row],[Indemnité]])</f>
        <v>240062.05000000002</v>
      </c>
      <c r="AD43">
        <f>salaire_brut_fiscal(AC43,Tableau4[[#This Row],[Avantages]])</f>
        <v>240062.05000000002</v>
      </c>
      <c r="AE43">
        <f t="shared" si="0"/>
        <v>13443.474800000002</v>
      </c>
    </row>
    <row r="44" spans="1:31" x14ac:dyDescent="0.25">
      <c r="A44">
        <v>43</v>
      </c>
      <c r="B44" t="s">
        <v>263</v>
      </c>
      <c r="C44" t="s">
        <v>264</v>
      </c>
      <c r="D44" t="s">
        <v>265</v>
      </c>
      <c r="E44" t="s">
        <v>266</v>
      </c>
      <c r="F44" t="s">
        <v>267</v>
      </c>
      <c r="G44" s="5" t="s">
        <v>26</v>
      </c>
      <c r="H44" s="5" t="s">
        <v>24</v>
      </c>
      <c r="I44" t="s">
        <v>28</v>
      </c>
      <c r="J44" s="5">
        <v>1</v>
      </c>
      <c r="K44" s="5">
        <v>1</v>
      </c>
      <c r="M44" s="5">
        <v>8</v>
      </c>
      <c r="N44" s="5">
        <v>5</v>
      </c>
      <c r="P44" s="5">
        <v>3</v>
      </c>
      <c r="S44" s="5">
        <v>20000</v>
      </c>
      <c r="X44">
        <f>salaire_base(Tableau4[[#This Row],[Catégorie]])</f>
        <v>240062.05000000002</v>
      </c>
      <c r="Y44">
        <f>Heure_Supp15(Tableau4[[#This Row],[Catégorie]],Tableau4[[#This Row],[H_supp_15]])</f>
        <v>12741.999999999998</v>
      </c>
      <c r="Z44">
        <f>Heure_Supp40(Tableau4[[#This Row],[Catégorie]],Tableau4[[#This Row],[H_supp_40]])</f>
        <v>9694.9999999999982</v>
      </c>
      <c r="AA44">
        <f>Heure_Supp60(Tableau4[[#This Row],[Catégorie]],Tableau4[[#This Row],[H_supp_60]])</f>
        <v>0</v>
      </c>
      <c r="AB44">
        <f>Heure_Supp100(Tableau4[[#This Row],[Catégorie]],Tableau4[[#This Row],[H_supp_100]])</f>
        <v>8310</v>
      </c>
      <c r="AC44">
        <f>salaire_brut_social(X44,Y44,Z44,AA44,AB44,Tableau4[[#This Row],[sursalaire]],Tableau4[[#This Row],[Prime]],Tableau4[[#This Row],[Indemnité]])</f>
        <v>290809.05</v>
      </c>
      <c r="AD44">
        <f>salaire_brut_fiscal(AC44,Tableau4[[#This Row],[Avantages]])</f>
        <v>290809.05</v>
      </c>
      <c r="AE44">
        <f t="shared" si="0"/>
        <v>16285.3068</v>
      </c>
    </row>
    <row r="45" spans="1:31" x14ac:dyDescent="0.25">
      <c r="A45">
        <v>44</v>
      </c>
      <c r="B45" t="s">
        <v>268</v>
      </c>
      <c r="C45" t="s">
        <v>269</v>
      </c>
      <c r="D45" t="s">
        <v>270</v>
      </c>
      <c r="E45" s="1">
        <v>27974</v>
      </c>
      <c r="F45" t="s">
        <v>224</v>
      </c>
      <c r="G45" s="5" t="s">
        <v>26</v>
      </c>
      <c r="H45" s="5" t="s">
        <v>23</v>
      </c>
      <c r="I45" t="s">
        <v>28</v>
      </c>
      <c r="J45" s="5">
        <v>1</v>
      </c>
      <c r="K45" s="5">
        <v>1</v>
      </c>
      <c r="P45" s="5">
        <v>2</v>
      </c>
      <c r="Q45" s="5">
        <v>8500</v>
      </c>
      <c r="T45" s="5">
        <v>2500</v>
      </c>
      <c r="X45">
        <f>salaire_base(Tableau4[[#This Row],[Catégorie]])</f>
        <v>350126.60000000003</v>
      </c>
      <c r="Y45">
        <f>Heure_Supp15(Tableau4[[#This Row],[Catégorie]],Tableau4[[#This Row],[H_supp_15]])</f>
        <v>0</v>
      </c>
      <c r="Z45">
        <f>Heure_Supp40(Tableau4[[#This Row],[Catégorie]],Tableau4[[#This Row],[H_supp_40]])</f>
        <v>0</v>
      </c>
      <c r="AA45">
        <f>Heure_Supp60(Tableau4[[#This Row],[Catégorie]],Tableau4[[#This Row],[H_supp_60]])</f>
        <v>0</v>
      </c>
      <c r="AB45">
        <f>Heure_Supp100(Tableau4[[#This Row],[Catégorie]],Tableau4[[#This Row],[H_supp_100]])</f>
        <v>8080</v>
      </c>
      <c r="AC45">
        <f>salaire_brut_social(X45,Y45,Z45,AA45,AB45,Tableau4[[#This Row],[sursalaire]],Tableau4[[#This Row],[Prime]],Tableau4[[#This Row],[Indemnité]])</f>
        <v>366706.60000000003</v>
      </c>
      <c r="AD45">
        <f>salaire_brut_fiscal(AC45,Tableau4[[#This Row],[Avantages]])</f>
        <v>366706.60000000003</v>
      </c>
      <c r="AE45">
        <f t="shared" si="0"/>
        <v>20160</v>
      </c>
    </row>
    <row r="46" spans="1:31" x14ac:dyDescent="0.25">
      <c r="A46">
        <v>45</v>
      </c>
      <c r="B46" t="s">
        <v>271</v>
      </c>
      <c r="C46" t="s">
        <v>272</v>
      </c>
      <c r="D46" t="s">
        <v>273</v>
      </c>
      <c r="E46" t="s">
        <v>274</v>
      </c>
      <c r="F46" t="s">
        <v>275</v>
      </c>
      <c r="G46" s="5" t="s">
        <v>25</v>
      </c>
      <c r="H46" s="5" t="s">
        <v>23</v>
      </c>
      <c r="I46" t="s">
        <v>28</v>
      </c>
      <c r="J46" s="5">
        <v>0</v>
      </c>
      <c r="K46" s="5">
        <v>2</v>
      </c>
      <c r="L46" s="5">
        <v>15000</v>
      </c>
      <c r="R46" s="5">
        <v>31500</v>
      </c>
      <c r="X46">
        <f>salaire_base(Tableau4[[#This Row],[Catégorie]])</f>
        <v>350126.60000000003</v>
      </c>
      <c r="Y46">
        <f>Heure_Supp15(Tableau4[[#This Row],[Catégorie]],Tableau4[[#This Row],[H_supp_15]])</f>
        <v>0</v>
      </c>
      <c r="Z46">
        <f>Heure_Supp40(Tableau4[[#This Row],[Catégorie]],Tableau4[[#This Row],[H_supp_40]])</f>
        <v>0</v>
      </c>
      <c r="AA46">
        <f>Heure_Supp60(Tableau4[[#This Row],[Catégorie]],Tableau4[[#This Row],[H_supp_60]])</f>
        <v>0</v>
      </c>
      <c r="AB46">
        <f>Heure_Supp100(Tableau4[[#This Row],[Catégorie]],Tableau4[[#This Row],[H_supp_100]])</f>
        <v>0</v>
      </c>
      <c r="AC46">
        <f>salaire_brut_social(X46,Y46,Z46,AA46,AB46,Tableau4[[#This Row],[sursalaire]],Tableau4[[#This Row],[Prime]],Tableau4[[#This Row],[Indemnité]])</f>
        <v>365126.60000000003</v>
      </c>
      <c r="AD46">
        <f>salaire_brut_fiscal(AC46,Tableau4[[#This Row],[Avantages]])</f>
        <v>396626.60000000003</v>
      </c>
      <c r="AE46">
        <f t="shared" si="0"/>
        <v>20160</v>
      </c>
    </row>
    <row r="47" spans="1:31" x14ac:dyDescent="0.25">
      <c r="A47">
        <v>46</v>
      </c>
      <c r="B47" t="s">
        <v>276</v>
      </c>
      <c r="C47" t="s">
        <v>277</v>
      </c>
      <c r="D47" t="s">
        <v>278</v>
      </c>
      <c r="E47" t="s">
        <v>279</v>
      </c>
      <c r="F47" t="s">
        <v>156</v>
      </c>
      <c r="G47" s="5" t="s">
        <v>26</v>
      </c>
      <c r="H47" s="5" t="s">
        <v>23</v>
      </c>
      <c r="I47" t="s">
        <v>28</v>
      </c>
      <c r="J47" s="5">
        <v>1</v>
      </c>
      <c r="K47" s="5">
        <v>1</v>
      </c>
      <c r="M47" s="5">
        <v>8</v>
      </c>
      <c r="N47" s="5">
        <v>5</v>
      </c>
      <c r="P47" s="5">
        <v>4</v>
      </c>
      <c r="U47" s="5">
        <v>15000</v>
      </c>
      <c r="X47">
        <f>salaire_base(Tableau4[[#This Row],[Catégorie]])</f>
        <v>350126.60000000003</v>
      </c>
      <c r="Y47">
        <f>Heure_Supp15(Tableau4[[#This Row],[Catégorie]],Tableau4[[#This Row],[H_supp_15]])</f>
        <v>18584</v>
      </c>
      <c r="Z47">
        <f>Heure_Supp40(Tableau4[[#This Row],[Catégorie]],Tableau4[[#This Row],[H_supp_40]])</f>
        <v>14140</v>
      </c>
      <c r="AA47">
        <f>Heure_Supp60(Tableau4[[#This Row],[Catégorie]],Tableau4[[#This Row],[H_supp_60]])</f>
        <v>0</v>
      </c>
      <c r="AB47">
        <f>Heure_Supp100(Tableau4[[#This Row],[Catégorie]],Tableau4[[#This Row],[H_supp_100]])</f>
        <v>16160</v>
      </c>
      <c r="AC47">
        <f>salaire_brut_social(X47,Y47,Z47,AA47,AB47,Tableau4[[#This Row],[sursalaire]],Tableau4[[#This Row],[Prime]],Tableau4[[#This Row],[Indemnité]])</f>
        <v>399010.60000000003</v>
      </c>
      <c r="AD47">
        <f>salaire_brut_fiscal(AC47,Tableau4[[#This Row],[Avantages]])</f>
        <v>399010.60000000003</v>
      </c>
      <c r="AE47">
        <f t="shared" si="0"/>
        <v>20160</v>
      </c>
    </row>
    <row r="48" spans="1:31" x14ac:dyDescent="0.25">
      <c r="A48">
        <v>47</v>
      </c>
      <c r="B48" t="s">
        <v>280</v>
      </c>
      <c r="C48" t="s">
        <v>281</v>
      </c>
      <c r="D48" t="s">
        <v>282</v>
      </c>
      <c r="E48" t="s">
        <v>283</v>
      </c>
      <c r="F48" t="s">
        <v>181</v>
      </c>
      <c r="G48" s="5" t="s">
        <v>26</v>
      </c>
      <c r="H48" s="5" t="s">
        <v>23</v>
      </c>
      <c r="I48" t="s">
        <v>28</v>
      </c>
      <c r="J48" s="5">
        <v>2</v>
      </c>
      <c r="K48" s="5">
        <v>5</v>
      </c>
      <c r="M48" s="5">
        <v>8</v>
      </c>
      <c r="O48" s="5">
        <v>3</v>
      </c>
      <c r="R48" s="5">
        <v>25000</v>
      </c>
      <c r="X48">
        <f>salaire_base(Tableau4[[#This Row],[Catégorie]])</f>
        <v>350126.60000000003</v>
      </c>
      <c r="Y48">
        <f>Heure_Supp15(Tableau4[[#This Row],[Catégorie]],Tableau4[[#This Row],[H_supp_15]])</f>
        <v>18584</v>
      </c>
      <c r="Z48">
        <f>Heure_Supp40(Tableau4[[#This Row],[Catégorie]],Tableau4[[#This Row],[H_supp_40]])</f>
        <v>0</v>
      </c>
      <c r="AA48">
        <f>Heure_Supp60(Tableau4[[#This Row],[Catégorie]],Tableau4[[#This Row],[H_supp_60]])</f>
        <v>9696</v>
      </c>
      <c r="AB48">
        <f>Heure_Supp100(Tableau4[[#This Row],[Catégorie]],Tableau4[[#This Row],[H_supp_100]])</f>
        <v>0</v>
      </c>
      <c r="AC48">
        <f>salaire_brut_social(X48,Y48,Z48,AA48,AB48,Tableau4[[#This Row],[sursalaire]],Tableau4[[#This Row],[Prime]],Tableau4[[#This Row],[Indemnité]])</f>
        <v>378406.60000000003</v>
      </c>
      <c r="AD48">
        <f>salaire_brut_fiscal(AC48,Tableau4[[#This Row],[Avantages]])</f>
        <v>403406.60000000003</v>
      </c>
      <c r="AE48">
        <f t="shared" si="0"/>
        <v>20160</v>
      </c>
    </row>
    <row r="49" spans="1:31" x14ac:dyDescent="0.25">
      <c r="A49">
        <v>48</v>
      </c>
      <c r="B49" t="s">
        <v>284</v>
      </c>
      <c r="C49" t="s">
        <v>285</v>
      </c>
      <c r="D49" t="s">
        <v>282</v>
      </c>
      <c r="E49" t="s">
        <v>286</v>
      </c>
      <c r="F49" t="s">
        <v>203</v>
      </c>
      <c r="G49" s="5" t="s">
        <v>25</v>
      </c>
      <c r="H49" s="5" t="s">
        <v>23</v>
      </c>
      <c r="I49" t="s">
        <v>28</v>
      </c>
      <c r="J49" s="5">
        <v>0</v>
      </c>
      <c r="K49" s="5">
        <v>2</v>
      </c>
      <c r="L49" s="5">
        <v>9500</v>
      </c>
      <c r="Q49" s="5">
        <v>5000</v>
      </c>
      <c r="S49" s="5">
        <v>25000</v>
      </c>
      <c r="T49" s="5">
        <v>3000</v>
      </c>
      <c r="U49" s="5">
        <v>14500</v>
      </c>
      <c r="X49">
        <f>salaire_base(Tableau4[[#This Row],[Catégorie]])</f>
        <v>350126.60000000003</v>
      </c>
      <c r="Y49">
        <f>Heure_Supp15(Tableau4[[#This Row],[Catégorie]],Tableau4[[#This Row],[H_supp_15]])</f>
        <v>0</v>
      </c>
      <c r="Z49">
        <f>Heure_Supp40(Tableau4[[#This Row],[Catégorie]],Tableau4[[#This Row],[H_supp_40]])</f>
        <v>0</v>
      </c>
      <c r="AA49">
        <f>Heure_Supp60(Tableau4[[#This Row],[Catégorie]],Tableau4[[#This Row],[H_supp_60]])</f>
        <v>0</v>
      </c>
      <c r="AB49">
        <f>Heure_Supp100(Tableau4[[#This Row],[Catégorie]],Tableau4[[#This Row],[H_supp_100]])</f>
        <v>0</v>
      </c>
      <c r="AC49">
        <f>salaire_brut_social(X49,Y49,Z49,AA49,AB49,Tableau4[[#This Row],[sursalaire]],Tableau4[[#This Row],[Prime]],Tableau4[[#This Row],[Indemnité]])</f>
        <v>389626.60000000003</v>
      </c>
      <c r="AD49">
        <f>salaire_brut_fiscal(AC49,Tableau4[[#This Row],[Avantages]])</f>
        <v>389626.60000000003</v>
      </c>
      <c r="AE49">
        <f t="shared" si="0"/>
        <v>20160</v>
      </c>
    </row>
    <row r="50" spans="1:31" x14ac:dyDescent="0.25">
      <c r="A50">
        <v>49</v>
      </c>
      <c r="B50" t="s">
        <v>287</v>
      </c>
      <c r="C50" t="s">
        <v>288</v>
      </c>
      <c r="D50" t="s">
        <v>289</v>
      </c>
      <c r="E50" t="s">
        <v>290</v>
      </c>
      <c r="F50" t="s">
        <v>36</v>
      </c>
      <c r="G50" s="5" t="s">
        <v>26</v>
      </c>
      <c r="H50" s="5" t="s">
        <v>23</v>
      </c>
      <c r="I50" t="s">
        <v>28</v>
      </c>
      <c r="J50" s="5">
        <v>2</v>
      </c>
      <c r="K50" s="5">
        <v>5</v>
      </c>
      <c r="M50" s="5">
        <v>8</v>
      </c>
      <c r="X50">
        <f>salaire_base(Tableau4[[#This Row],[Catégorie]])</f>
        <v>350126.60000000003</v>
      </c>
      <c r="Y50">
        <f>Heure_Supp15(Tableau4[[#This Row],[Catégorie]],Tableau4[[#This Row],[H_supp_15]])</f>
        <v>18584</v>
      </c>
      <c r="Z50">
        <f>Heure_Supp40(Tableau4[[#This Row],[Catégorie]],Tableau4[[#This Row],[H_supp_40]])</f>
        <v>0</v>
      </c>
      <c r="AA50">
        <f>Heure_Supp60(Tableau4[[#This Row],[Catégorie]],Tableau4[[#This Row],[H_supp_60]])</f>
        <v>0</v>
      </c>
      <c r="AB50">
        <f>Heure_Supp100(Tableau4[[#This Row],[Catégorie]],Tableau4[[#This Row],[H_supp_100]])</f>
        <v>0</v>
      </c>
      <c r="AC50">
        <f>salaire_brut_social(X50,Y50,Z50,AA50,AB50,Tableau4[[#This Row],[sursalaire]],Tableau4[[#This Row],[Prime]],Tableau4[[#This Row],[Indemnité]])</f>
        <v>368710.60000000003</v>
      </c>
      <c r="AD50">
        <f>salaire_brut_fiscal(AC50,Tableau4[[#This Row],[Avantages]])</f>
        <v>368710.60000000003</v>
      </c>
      <c r="AE50">
        <f t="shared" si="0"/>
        <v>20160</v>
      </c>
    </row>
    <row r="51" spans="1:31" x14ac:dyDescent="0.25">
      <c r="A51">
        <v>50</v>
      </c>
      <c r="B51" t="s">
        <v>291</v>
      </c>
      <c r="C51" t="s">
        <v>292</v>
      </c>
      <c r="D51" t="s">
        <v>293</v>
      </c>
      <c r="E51" t="s">
        <v>294</v>
      </c>
      <c r="F51" t="s">
        <v>178</v>
      </c>
      <c r="G51" s="5" t="s">
        <v>26</v>
      </c>
      <c r="H51" s="5" t="s">
        <v>23</v>
      </c>
      <c r="I51" t="s">
        <v>29</v>
      </c>
      <c r="J51" s="5">
        <v>0</v>
      </c>
      <c r="K51" s="5">
        <v>0</v>
      </c>
      <c r="M51" s="5">
        <v>8</v>
      </c>
      <c r="N51" s="5">
        <v>2</v>
      </c>
      <c r="O51" s="5">
        <v>3</v>
      </c>
      <c r="Q51" s="5">
        <v>7000</v>
      </c>
      <c r="T51" s="5">
        <v>3000</v>
      </c>
      <c r="U51" s="5">
        <v>13500</v>
      </c>
      <c r="X51">
        <f>salaire_base(Tableau4[[#This Row],[Catégorie]])</f>
        <v>350126.60000000003</v>
      </c>
      <c r="Y51">
        <f>Heure_Supp15(Tableau4[[#This Row],[Catégorie]],Tableau4[[#This Row],[H_supp_15]])</f>
        <v>18584</v>
      </c>
      <c r="Z51">
        <f>Heure_Supp40(Tableau4[[#This Row],[Catégorie]],Tableau4[[#This Row],[H_supp_40]])</f>
        <v>5656</v>
      </c>
      <c r="AA51">
        <f>Heure_Supp60(Tableau4[[#This Row],[Catégorie]],Tableau4[[#This Row],[H_supp_60]])</f>
        <v>9696</v>
      </c>
      <c r="AB51">
        <f>Heure_Supp100(Tableau4[[#This Row],[Catégorie]],Tableau4[[#This Row],[H_supp_100]])</f>
        <v>0</v>
      </c>
      <c r="AC51">
        <f>salaire_brut_social(X51,Y51,Z51,AA51,AB51,Tableau4[[#This Row],[sursalaire]],Tableau4[[#This Row],[Prime]],Tableau4[[#This Row],[Indemnité]])</f>
        <v>391062.60000000003</v>
      </c>
      <c r="AD51">
        <f>salaire_brut_fiscal(AC51,Tableau4[[#This Row],[Avantages]])</f>
        <v>391062.60000000003</v>
      </c>
      <c r="AE51">
        <f t="shared" si="0"/>
        <v>20160</v>
      </c>
    </row>
  </sheetData>
  <conditionalFormatting sqref="H2:H51">
    <cfRule type="containsText" dxfId="18" priority="4" operator="containsText" text="C">
      <formula>NOT(ISERROR(SEARCH("C",H2)))</formula>
    </cfRule>
    <cfRule type="containsText" dxfId="17" priority="3" operator="containsText" text="B">
      <formula>NOT(ISERROR(SEARCH("B",H2)))</formula>
    </cfRule>
    <cfRule type="containsText" dxfId="16" priority="2" operator="containsText" text="C">
      <formula>NOT(ISERROR(SEARCH("C",H2)))</formula>
    </cfRule>
    <cfRule type="containsText" dxfId="15" priority="1" operator="containsText" text="A">
      <formula>NOT(ISERROR(SEARCH("A",H2)))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M31"/>
  <sheetViews>
    <sheetView zoomScale="98" zoomScaleNormal="98" workbookViewId="0">
      <selection activeCell="J8" sqref="J8"/>
    </sheetView>
  </sheetViews>
  <sheetFormatPr baseColWidth="10" defaultRowHeight="15" x14ac:dyDescent="0.25"/>
  <cols>
    <col min="1" max="1" width="13.7109375" customWidth="1"/>
    <col min="2" max="2" width="12.7109375" customWidth="1"/>
    <col min="3" max="3" width="22.140625" customWidth="1"/>
    <col min="4" max="4" width="14.140625" customWidth="1"/>
    <col min="5" max="5" width="6.5703125" customWidth="1"/>
    <col min="6" max="6" width="16.140625" customWidth="1"/>
    <col min="7" max="7" width="11.28515625" customWidth="1"/>
    <col min="8" max="8" width="3.85546875" customWidth="1"/>
    <col min="9" max="9" width="2.85546875" customWidth="1"/>
    <col min="10" max="10" width="20.85546875" customWidth="1"/>
  </cols>
  <sheetData>
    <row r="1" spans="1:13" ht="15.75" thickBot="1" x14ac:dyDescent="0.3">
      <c r="G1" s="4"/>
    </row>
    <row r="2" spans="1:13" ht="15.75" customHeight="1" thickBot="1" x14ac:dyDescent="0.3">
      <c r="A2" s="30" t="s">
        <v>66</v>
      </c>
      <c r="B2" s="30"/>
      <c r="C2" s="30"/>
      <c r="D2" s="30"/>
      <c r="E2" s="30"/>
      <c r="F2" s="30"/>
      <c r="G2" t="s">
        <v>33</v>
      </c>
      <c r="H2" s="6"/>
      <c r="I2" s="6"/>
      <c r="J2" s="6" t="s">
        <v>298</v>
      </c>
      <c r="K2" t="s">
        <v>30</v>
      </c>
    </row>
    <row r="3" spans="1:13" ht="15.75" customHeight="1" thickBot="1" x14ac:dyDescent="0.3">
      <c r="A3" s="30"/>
      <c r="B3" s="30"/>
      <c r="C3" s="30"/>
      <c r="D3" s="30"/>
      <c r="E3" s="30"/>
      <c r="F3" s="30"/>
      <c r="H3" s="6"/>
      <c r="I3" s="6"/>
      <c r="J3" s="6"/>
    </row>
    <row r="4" spans="1:13" ht="19.5" thickBot="1" x14ac:dyDescent="0.35">
      <c r="A4" s="8" t="s">
        <v>67</v>
      </c>
      <c r="B4" s="34" t="str">
        <f>LOOKUP(G2,données_salaire!B2:B51)</f>
        <v>12319-FALL/C</v>
      </c>
      <c r="C4" s="28"/>
      <c r="D4" s="9" t="s">
        <v>97</v>
      </c>
      <c r="E4" s="28"/>
      <c r="F4" s="28"/>
      <c r="H4" s="6"/>
      <c r="I4" s="6"/>
      <c r="J4" s="10" t="s">
        <v>87</v>
      </c>
      <c r="K4">
        <v>156000</v>
      </c>
      <c r="L4" t="s">
        <v>91</v>
      </c>
      <c r="M4" t="s">
        <v>92</v>
      </c>
    </row>
    <row r="5" spans="1:13" ht="19.5" thickBot="1" x14ac:dyDescent="0.35">
      <c r="A5" s="8" t="s">
        <v>3</v>
      </c>
      <c r="B5" s="29" t="e">
        <f>LOOKUP(G2,données_salaire!D1:D20)</f>
        <v>#N/A</v>
      </c>
      <c r="C5" s="29"/>
      <c r="D5" s="29"/>
      <c r="E5" s="29"/>
      <c r="F5" s="29"/>
      <c r="H5" s="6"/>
      <c r="I5" s="6"/>
      <c r="J5" s="10" t="s">
        <v>88</v>
      </c>
      <c r="K5">
        <v>52000</v>
      </c>
      <c r="L5">
        <v>10</v>
      </c>
      <c r="M5">
        <v>6</v>
      </c>
    </row>
    <row r="6" spans="1:13" ht="19.5" thickBot="1" x14ac:dyDescent="0.35">
      <c r="A6" s="8" t="s">
        <v>2</v>
      </c>
      <c r="B6" s="29" t="s">
        <v>95</v>
      </c>
      <c r="C6" s="29"/>
      <c r="D6" s="29"/>
      <c r="E6" s="29"/>
      <c r="F6" s="29"/>
      <c r="H6" s="6"/>
      <c r="I6" s="6"/>
      <c r="J6" s="10" t="s">
        <v>93</v>
      </c>
      <c r="K6">
        <f>1200</f>
        <v>1200</v>
      </c>
    </row>
    <row r="7" spans="1:13" ht="19.5" thickBot="1" x14ac:dyDescent="0.35">
      <c r="A7" s="8" t="s">
        <v>99</v>
      </c>
      <c r="B7" s="15"/>
      <c r="C7" s="16"/>
      <c r="D7" s="16"/>
      <c r="E7" s="16"/>
      <c r="F7" s="17"/>
      <c r="H7" s="6"/>
      <c r="I7" s="6"/>
      <c r="J7" s="10"/>
    </row>
    <row r="8" spans="1:13" ht="19.5" thickBot="1" x14ac:dyDescent="0.35">
      <c r="A8" s="8" t="s">
        <v>98</v>
      </c>
      <c r="B8" s="15"/>
      <c r="C8" s="16"/>
      <c r="D8" s="16"/>
      <c r="E8" s="16"/>
      <c r="F8" s="17"/>
      <c r="H8" s="6"/>
      <c r="I8" s="6"/>
      <c r="J8" s="10"/>
    </row>
    <row r="9" spans="1:13" ht="19.5" thickBot="1" x14ac:dyDescent="0.35">
      <c r="A9" s="9" t="s">
        <v>100</v>
      </c>
      <c r="B9" s="18"/>
      <c r="C9" s="19"/>
      <c r="D9" s="32" t="s">
        <v>101</v>
      </c>
      <c r="E9" s="33"/>
      <c r="F9" s="7"/>
      <c r="J9" s="10" t="s">
        <v>90</v>
      </c>
      <c r="K9">
        <v>16500</v>
      </c>
    </row>
    <row r="10" spans="1:13" ht="19.5" thickBot="1" x14ac:dyDescent="0.35">
      <c r="A10" s="20" t="s">
        <v>27</v>
      </c>
      <c r="B10" s="20"/>
      <c r="C10" s="29">
        <f>K4</f>
        <v>156000</v>
      </c>
      <c r="D10" s="29"/>
      <c r="E10" s="29"/>
      <c r="F10" s="29"/>
      <c r="J10" s="10" t="s">
        <v>89</v>
      </c>
      <c r="K10">
        <v>7000</v>
      </c>
    </row>
    <row r="11" spans="1:13" ht="19.5" thickBot="1" x14ac:dyDescent="0.35">
      <c r="A11" s="28"/>
      <c r="B11" s="8" t="s">
        <v>68</v>
      </c>
      <c r="C11" s="29">
        <f>L5*K6*1.15</f>
        <v>13799.999999999998</v>
      </c>
      <c r="D11" s="29"/>
      <c r="E11" s="29"/>
      <c r="F11" s="29"/>
    </row>
    <row r="12" spans="1:13" ht="19.5" thickBot="1" x14ac:dyDescent="0.35">
      <c r="A12" s="28"/>
      <c r="B12" s="8" t="s">
        <v>69</v>
      </c>
      <c r="C12" s="29">
        <f>M5*K6*1.4</f>
        <v>10080</v>
      </c>
      <c r="D12" s="29"/>
      <c r="E12" s="29"/>
      <c r="F12" s="29"/>
      <c r="J12" s="10" t="s">
        <v>96</v>
      </c>
    </row>
    <row r="13" spans="1:13" ht="19.5" thickBot="1" x14ac:dyDescent="0.35">
      <c r="A13" s="28"/>
      <c r="B13" s="8" t="s">
        <v>70</v>
      </c>
      <c r="C13" s="29"/>
      <c r="D13" s="29"/>
      <c r="E13" s="29"/>
      <c r="F13" s="29"/>
    </row>
    <row r="14" spans="1:13" ht="19.5" thickBot="1" x14ac:dyDescent="0.35">
      <c r="A14" s="28"/>
      <c r="B14" s="8" t="s">
        <v>71</v>
      </c>
      <c r="C14" s="29"/>
      <c r="D14" s="29"/>
      <c r="E14" s="29"/>
      <c r="F14" s="29"/>
    </row>
    <row r="15" spans="1:13" ht="19.5" thickBot="1" x14ac:dyDescent="0.35">
      <c r="A15" s="20" t="s">
        <v>11</v>
      </c>
      <c r="B15" s="20"/>
      <c r="C15" s="29">
        <f>52000</f>
        <v>52000</v>
      </c>
      <c r="D15" s="29"/>
      <c r="E15" s="29"/>
      <c r="F15" s="29"/>
    </row>
    <row r="16" spans="1:13" ht="19.5" thickBot="1" x14ac:dyDescent="0.35">
      <c r="A16" s="20" t="s">
        <v>81</v>
      </c>
      <c r="B16" s="20"/>
      <c r="C16" s="29"/>
      <c r="D16" s="29"/>
      <c r="E16" s="29"/>
      <c r="F16" s="29"/>
    </row>
    <row r="17" spans="1:6" ht="19.5" thickBot="1" x14ac:dyDescent="0.35">
      <c r="A17" s="20" t="s">
        <v>72</v>
      </c>
      <c r="B17" s="20"/>
      <c r="C17" s="29"/>
      <c r="D17" s="29"/>
      <c r="E17" s="29"/>
      <c r="F17" s="29"/>
    </row>
    <row r="18" spans="1:6" ht="19.5" thickBot="1" x14ac:dyDescent="0.35">
      <c r="A18" s="20" t="s">
        <v>73</v>
      </c>
      <c r="B18" s="20"/>
      <c r="C18" s="29">
        <f>C10+C11+C12+C13+C14+C15+C16+C17</f>
        <v>231880</v>
      </c>
      <c r="D18" s="29"/>
      <c r="E18" s="29"/>
      <c r="F18" s="29"/>
    </row>
    <row r="19" spans="1:6" ht="19.5" thickBot="1" x14ac:dyDescent="0.35">
      <c r="A19" s="20" t="s">
        <v>74</v>
      </c>
      <c r="B19" s="20"/>
      <c r="C19" s="29"/>
      <c r="D19" s="29"/>
      <c r="E19" s="29"/>
      <c r="F19" s="29"/>
    </row>
    <row r="20" spans="1:6" ht="19.5" thickBot="1" x14ac:dyDescent="0.35">
      <c r="A20" s="20" t="s">
        <v>75</v>
      </c>
      <c r="B20" s="20"/>
      <c r="C20" s="28"/>
      <c r="D20" s="28"/>
      <c r="E20" s="28"/>
      <c r="F20" s="28"/>
    </row>
    <row r="21" spans="1:6" ht="19.5" thickBot="1" x14ac:dyDescent="0.35">
      <c r="A21" s="31" t="s">
        <v>82</v>
      </c>
      <c r="B21" s="31"/>
      <c r="C21" s="9" t="s">
        <v>76</v>
      </c>
      <c r="D21" s="29"/>
      <c r="E21" s="29"/>
      <c r="F21" s="29"/>
    </row>
    <row r="22" spans="1:6" ht="19.5" thickBot="1" x14ac:dyDescent="0.35">
      <c r="A22" s="31"/>
      <c r="B22" s="31"/>
      <c r="C22" s="9" t="s">
        <v>77</v>
      </c>
      <c r="D22" s="29"/>
      <c r="E22" s="29"/>
      <c r="F22" s="29"/>
    </row>
    <row r="23" spans="1:6" ht="19.5" thickBot="1" x14ac:dyDescent="0.35">
      <c r="A23" s="31"/>
      <c r="B23" s="31"/>
      <c r="C23" s="11" t="s">
        <v>19</v>
      </c>
      <c r="D23" s="27"/>
      <c r="E23" s="27"/>
      <c r="F23" s="27"/>
    </row>
    <row r="24" spans="1:6" ht="19.5" thickBot="1" x14ac:dyDescent="0.35">
      <c r="A24" s="31"/>
      <c r="B24" s="31"/>
      <c r="C24" s="12" t="s">
        <v>78</v>
      </c>
      <c r="D24" s="28"/>
      <c r="E24" s="28"/>
      <c r="F24" s="28"/>
    </row>
    <row r="25" spans="1:6" ht="19.5" thickBot="1" x14ac:dyDescent="0.35">
      <c r="A25" s="31"/>
      <c r="B25" s="31"/>
      <c r="C25" s="12" t="s">
        <v>79</v>
      </c>
      <c r="D25" s="28"/>
      <c r="E25" s="28"/>
      <c r="F25" s="28"/>
    </row>
    <row r="26" spans="1:6" ht="19.5" thickBot="1" x14ac:dyDescent="0.35">
      <c r="A26" s="31"/>
      <c r="B26" s="31"/>
      <c r="C26" s="12" t="s">
        <v>80</v>
      </c>
      <c r="D26" s="28"/>
      <c r="E26" s="28"/>
      <c r="F26" s="28"/>
    </row>
    <row r="27" spans="1:6" ht="19.5" thickBot="1" x14ac:dyDescent="0.35">
      <c r="A27" s="31"/>
      <c r="B27" s="31"/>
      <c r="C27" s="12" t="s">
        <v>21</v>
      </c>
      <c r="D27" s="28"/>
      <c r="E27" s="28"/>
      <c r="F27" s="28"/>
    </row>
    <row r="28" spans="1:6" ht="19.5" thickBot="1" x14ac:dyDescent="0.35">
      <c r="A28" s="20" t="s">
        <v>83</v>
      </c>
      <c r="B28" s="20"/>
      <c r="C28" s="21"/>
      <c r="D28" s="22"/>
      <c r="E28" s="22"/>
      <c r="F28" s="23"/>
    </row>
    <row r="29" spans="1:6" ht="19.5" thickBot="1" x14ac:dyDescent="0.35">
      <c r="A29" s="20" t="s">
        <v>84</v>
      </c>
      <c r="B29" s="20"/>
      <c r="C29" s="21"/>
      <c r="D29" s="22"/>
      <c r="E29" s="22"/>
      <c r="F29" s="23"/>
    </row>
    <row r="30" spans="1:6" ht="19.5" thickBot="1" x14ac:dyDescent="0.35">
      <c r="A30" s="20" t="s">
        <v>85</v>
      </c>
      <c r="B30" s="20"/>
      <c r="C30" s="21"/>
      <c r="D30" s="22"/>
      <c r="E30" s="22"/>
      <c r="F30" s="23"/>
    </row>
    <row r="31" spans="1:6" ht="19.5" thickBot="1" x14ac:dyDescent="0.35">
      <c r="A31" s="20" t="s">
        <v>86</v>
      </c>
      <c r="B31" s="20"/>
      <c r="C31" s="24"/>
      <c r="D31" s="25"/>
      <c r="E31" s="25"/>
      <c r="F31" s="26"/>
    </row>
  </sheetData>
  <mergeCells count="44">
    <mergeCell ref="A2:F3"/>
    <mergeCell ref="E4:F4"/>
    <mergeCell ref="B5:F5"/>
    <mergeCell ref="A21:B27"/>
    <mergeCell ref="A19:B19"/>
    <mergeCell ref="A20:B20"/>
    <mergeCell ref="C11:F11"/>
    <mergeCell ref="C12:F12"/>
    <mergeCell ref="C13:F13"/>
    <mergeCell ref="C14:F14"/>
    <mergeCell ref="B6:F6"/>
    <mergeCell ref="D9:E9"/>
    <mergeCell ref="B4:C4"/>
    <mergeCell ref="C10:F10"/>
    <mergeCell ref="D21:F21"/>
    <mergeCell ref="D22:F22"/>
    <mergeCell ref="A10:B10"/>
    <mergeCell ref="A11:A14"/>
    <mergeCell ref="A15:B15"/>
    <mergeCell ref="A16:B16"/>
    <mergeCell ref="A17:B17"/>
    <mergeCell ref="A18:B18"/>
    <mergeCell ref="A31:B31"/>
    <mergeCell ref="C28:F28"/>
    <mergeCell ref="C29:F29"/>
    <mergeCell ref="C30:F30"/>
    <mergeCell ref="C31:F31"/>
    <mergeCell ref="A28:B28"/>
    <mergeCell ref="B8:F8"/>
    <mergeCell ref="B7:F7"/>
    <mergeCell ref="B9:C9"/>
    <mergeCell ref="A29:B29"/>
    <mergeCell ref="A30:B30"/>
    <mergeCell ref="D23:F23"/>
    <mergeCell ref="D24:F24"/>
    <mergeCell ref="D25:F25"/>
    <mergeCell ref="D26:F26"/>
    <mergeCell ref="D27:F27"/>
    <mergeCell ref="C15:F15"/>
    <mergeCell ref="C16:F16"/>
    <mergeCell ref="C17:F17"/>
    <mergeCell ref="C18:F18"/>
    <mergeCell ref="C19:F19"/>
    <mergeCell ref="C20:F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L136"/>
  <sheetViews>
    <sheetView workbookViewId="0">
      <selection activeCell="A6" sqref="A6"/>
    </sheetView>
  </sheetViews>
  <sheetFormatPr baseColWidth="10" defaultRowHeight="15" x14ac:dyDescent="0.25"/>
  <cols>
    <col min="7" max="7" width="12.140625" customWidth="1"/>
    <col min="10" max="10" width="15.140625" customWidth="1"/>
  </cols>
  <sheetData>
    <row r="1" spans="1:12" ht="15.75" thickBot="1" x14ac:dyDescent="0.3"/>
    <row r="2" spans="1:12" ht="16.5" thickTop="1" thickBot="1" x14ac:dyDescent="0.3">
      <c r="A2" s="35" t="s">
        <v>110</v>
      </c>
      <c r="B2" s="36"/>
      <c r="C2" s="36"/>
      <c r="D2" s="36"/>
      <c r="E2" s="36"/>
      <c r="F2" s="36"/>
      <c r="G2" s="36"/>
      <c r="H2" s="36"/>
      <c r="I2" s="36"/>
      <c r="J2" s="36"/>
      <c r="L2" t="s">
        <v>297</v>
      </c>
    </row>
    <row r="3" spans="1:12" ht="16.5" thickTop="1" thickBot="1" x14ac:dyDescent="0.3">
      <c r="A3" s="36"/>
      <c r="B3" s="36"/>
      <c r="C3" s="36"/>
      <c r="D3" s="36"/>
      <c r="E3" s="36"/>
      <c r="F3" s="36"/>
      <c r="G3" s="36"/>
      <c r="H3" s="36"/>
      <c r="I3" s="36"/>
      <c r="J3" s="36"/>
      <c r="L3" t="s">
        <v>297</v>
      </c>
    </row>
    <row r="4" spans="1:12" ht="20.25" thickTop="1" thickBot="1" x14ac:dyDescent="0.35">
      <c r="A4" s="13" t="s">
        <v>102</v>
      </c>
      <c r="B4" s="13" t="s">
        <v>103</v>
      </c>
      <c r="C4" s="13" t="s">
        <v>104</v>
      </c>
      <c r="D4" s="13" t="s">
        <v>105</v>
      </c>
      <c r="E4" s="13" t="s">
        <v>19</v>
      </c>
      <c r="F4" s="13" t="s">
        <v>79</v>
      </c>
      <c r="G4" s="13" t="s">
        <v>106</v>
      </c>
      <c r="H4" s="13" t="s">
        <v>107</v>
      </c>
      <c r="I4" s="13" t="s">
        <v>108</v>
      </c>
      <c r="J4" s="13" t="s">
        <v>109</v>
      </c>
    </row>
    <row r="5" spans="1:12" ht="16.5" thickTop="1" thickBot="1" x14ac:dyDescent="0.3">
      <c r="A5" s="14" t="str">
        <f>LOOKUP(L3,données_salaire!C2:D15)</f>
        <v>BA</v>
      </c>
      <c r="B5" s="14"/>
      <c r="C5" s="14"/>
      <c r="D5" s="14"/>
      <c r="E5" s="14"/>
      <c r="F5" s="14"/>
      <c r="G5" s="14"/>
      <c r="H5" s="14"/>
      <c r="I5" s="14"/>
      <c r="J5" s="14"/>
    </row>
    <row r="6" spans="1:12" ht="16.5" thickTop="1" thickBot="1" x14ac:dyDescent="0.3">
      <c r="A6" s="14"/>
      <c r="B6" s="14"/>
      <c r="C6" s="14"/>
      <c r="D6" s="14"/>
      <c r="E6" s="14"/>
      <c r="F6" s="14"/>
      <c r="G6" s="14"/>
      <c r="H6" s="14"/>
      <c r="I6" s="14"/>
      <c r="J6" s="14"/>
    </row>
    <row r="7" spans="1:12" ht="16.5" thickTop="1" thickBot="1" x14ac:dyDescent="0.3">
      <c r="A7" s="14"/>
      <c r="B7" s="14"/>
      <c r="C7" s="14"/>
      <c r="D7" s="14"/>
      <c r="E7" s="14"/>
      <c r="F7" s="14"/>
      <c r="G7" s="14"/>
      <c r="H7" s="14"/>
      <c r="I7" s="14"/>
      <c r="J7" s="14"/>
    </row>
    <row r="8" spans="1:12" ht="16.5" thickTop="1" thickBot="1" x14ac:dyDescent="0.3">
      <c r="A8" s="14"/>
      <c r="B8" s="14"/>
      <c r="C8" s="14"/>
      <c r="D8" s="14"/>
      <c r="E8" s="14"/>
      <c r="F8" s="14"/>
      <c r="G8" s="14"/>
      <c r="H8" s="14"/>
      <c r="I8" s="14"/>
      <c r="J8" s="14"/>
    </row>
    <row r="9" spans="1:12" ht="16.5" thickTop="1" thickBot="1" x14ac:dyDescent="0.3">
      <c r="A9" s="14"/>
      <c r="B9" s="14"/>
      <c r="C9" s="14"/>
      <c r="D9" s="14"/>
      <c r="E9" s="14"/>
      <c r="F9" s="14"/>
      <c r="G9" s="14"/>
      <c r="H9" s="14"/>
      <c r="I9" s="14"/>
      <c r="J9" s="14"/>
    </row>
    <row r="10" spans="1:12" ht="16.5" thickTop="1" thickBot="1" x14ac:dyDescent="0.3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 ht="16.5" thickTop="1" thickBot="1" x14ac:dyDescent="0.3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2" ht="16.5" thickTop="1" thickBot="1" x14ac:dyDescent="0.3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2" ht="16.5" thickTop="1" thickBot="1" x14ac:dyDescent="0.3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2" ht="16.5" thickTop="1" thickBot="1" x14ac:dyDescent="0.3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2" ht="16.5" thickTop="1" thickBot="1" x14ac:dyDescent="0.3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2" ht="16.5" thickTop="1" thickBot="1" x14ac:dyDescent="0.3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ht="16.5" thickTop="1" thickBot="1" x14ac:dyDescent="0.3">
      <c r="A17" s="14"/>
      <c r="B17" s="14"/>
      <c r="C17" s="14"/>
      <c r="D17" s="14"/>
      <c r="E17" s="14"/>
      <c r="F17" s="14"/>
      <c r="G17" s="14"/>
      <c r="H17" s="14"/>
      <c r="I17" s="14"/>
      <c r="J17" s="14"/>
    </row>
    <row r="18" spans="1:10" ht="16.5" thickTop="1" thickBot="1" x14ac:dyDescent="0.3">
      <c r="A18" s="14"/>
      <c r="B18" s="14"/>
      <c r="C18" s="14"/>
      <c r="D18" s="14"/>
      <c r="E18" s="14"/>
      <c r="F18" s="14"/>
      <c r="G18" s="14"/>
      <c r="H18" s="14"/>
      <c r="I18" s="14"/>
      <c r="J18" s="14"/>
    </row>
    <row r="19" spans="1:10" ht="16.5" thickTop="1" thickBot="1" x14ac:dyDescent="0.3">
      <c r="A19" s="14"/>
      <c r="B19" s="14"/>
      <c r="C19" s="14"/>
      <c r="D19" s="14"/>
      <c r="E19" s="14"/>
      <c r="F19" s="14"/>
      <c r="G19" s="14"/>
      <c r="H19" s="14"/>
      <c r="I19" s="14"/>
      <c r="J19" s="14"/>
    </row>
    <row r="20" spans="1:10" ht="16.5" thickTop="1" thickBot="1" x14ac:dyDescent="0.3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ht="16.5" thickTop="1" thickBot="1" x14ac:dyDescent="0.3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ht="16.5" thickTop="1" thickBot="1" x14ac:dyDescent="0.3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ht="16.5" thickTop="1" thickBot="1" x14ac:dyDescent="0.3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ht="16.5" thickTop="1" thickBot="1" x14ac:dyDescent="0.3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ht="16.5" thickTop="1" thickBot="1" x14ac:dyDescent="0.3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ht="16.5" thickTop="1" thickBot="1" x14ac:dyDescent="0.3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ht="16.5" thickTop="1" thickBot="1" x14ac:dyDescent="0.3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ht="16.5" thickTop="1" thickBot="1" x14ac:dyDescent="0.3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ht="16.5" thickTop="1" thickBot="1" x14ac:dyDescent="0.3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0" spans="1:10" ht="16.5" thickTop="1" thickBot="1" x14ac:dyDescent="0.3">
      <c r="A30" s="14"/>
      <c r="B30" s="14"/>
      <c r="C30" s="14"/>
      <c r="D30" s="14"/>
      <c r="E30" s="14"/>
      <c r="F30" s="14"/>
      <c r="G30" s="14"/>
      <c r="H30" s="14"/>
      <c r="I30" s="14"/>
      <c r="J30" s="14"/>
    </row>
    <row r="31" spans="1:10" ht="16.5" thickTop="1" thickBot="1" x14ac:dyDescent="0.3">
      <c r="A31" s="14"/>
      <c r="B31" s="14"/>
      <c r="C31" s="14"/>
      <c r="D31" s="14"/>
      <c r="E31" s="14"/>
      <c r="F31" s="14"/>
      <c r="G31" s="14"/>
      <c r="H31" s="14"/>
      <c r="I31" s="14"/>
      <c r="J31" s="14"/>
    </row>
    <row r="32" spans="1:10" ht="16.5" thickTop="1" thickBot="1" x14ac:dyDescent="0.3">
      <c r="A32" s="14"/>
      <c r="B32" s="14"/>
      <c r="C32" s="14"/>
      <c r="D32" s="14"/>
      <c r="E32" s="14"/>
      <c r="F32" s="14"/>
      <c r="G32" s="14"/>
      <c r="H32" s="14"/>
      <c r="I32" s="14"/>
      <c r="J32" s="14"/>
    </row>
    <row r="33" spans="1:10" ht="16.5" thickTop="1" thickBot="1" x14ac:dyDescent="0.3">
      <c r="A33" s="14"/>
      <c r="B33" s="14"/>
      <c r="C33" s="14"/>
      <c r="D33" s="14"/>
      <c r="E33" s="14"/>
      <c r="F33" s="14"/>
      <c r="G33" s="14"/>
      <c r="H33" s="14"/>
      <c r="I33" s="14"/>
      <c r="J33" s="14"/>
    </row>
    <row r="34" spans="1:10" ht="16.5" thickTop="1" thickBot="1" x14ac:dyDescent="0.3">
      <c r="A34" s="14"/>
      <c r="B34" s="14"/>
      <c r="C34" s="14"/>
      <c r="D34" s="14"/>
      <c r="E34" s="14"/>
      <c r="F34" s="14"/>
      <c r="G34" s="14"/>
      <c r="H34" s="14"/>
      <c r="I34" s="14"/>
      <c r="J34" s="14"/>
    </row>
    <row r="35" spans="1:10" ht="16.5" thickTop="1" thickBot="1" x14ac:dyDescent="0.3">
      <c r="A35" s="14"/>
      <c r="B35" s="14"/>
      <c r="C35" s="14"/>
      <c r="D35" s="14"/>
      <c r="E35" s="14"/>
      <c r="F35" s="14"/>
      <c r="G35" s="14"/>
      <c r="H35" s="14"/>
      <c r="I35" s="14"/>
      <c r="J35" s="14"/>
    </row>
    <row r="36" spans="1:10" ht="16.5" thickTop="1" thickBot="1" x14ac:dyDescent="0.3">
      <c r="A36" s="14"/>
      <c r="B36" s="14"/>
      <c r="C36" s="14"/>
      <c r="D36" s="14"/>
      <c r="E36" s="14"/>
      <c r="F36" s="14"/>
      <c r="G36" s="14"/>
      <c r="H36" s="14"/>
      <c r="I36" s="14"/>
      <c r="J36" s="14"/>
    </row>
    <row r="37" spans="1:10" ht="16.5" thickTop="1" thickBot="1" x14ac:dyDescent="0.3">
      <c r="A37" s="14"/>
      <c r="B37" s="14"/>
      <c r="C37" s="14"/>
      <c r="D37" s="14"/>
      <c r="E37" s="14"/>
      <c r="F37" s="14"/>
      <c r="G37" s="14"/>
      <c r="H37" s="14"/>
      <c r="I37" s="14"/>
      <c r="J37" s="14"/>
    </row>
    <row r="38" spans="1:10" ht="16.5" thickTop="1" thickBot="1" x14ac:dyDescent="0.3">
      <c r="A38" s="14"/>
      <c r="B38" s="14"/>
      <c r="C38" s="14"/>
      <c r="D38" s="14"/>
      <c r="E38" s="14"/>
      <c r="F38" s="14"/>
      <c r="G38" s="14"/>
      <c r="H38" s="14"/>
      <c r="I38" s="14"/>
      <c r="J38" s="14"/>
    </row>
    <row r="39" spans="1:10" ht="16.5" thickTop="1" thickBot="1" x14ac:dyDescent="0.3">
      <c r="A39" s="14"/>
      <c r="B39" s="14"/>
      <c r="C39" s="14"/>
      <c r="D39" s="14"/>
      <c r="E39" s="14"/>
      <c r="F39" s="14"/>
      <c r="G39" s="14"/>
      <c r="H39" s="14"/>
      <c r="I39" s="14"/>
      <c r="J39" s="14"/>
    </row>
    <row r="40" spans="1:10" ht="16.5" thickTop="1" thickBot="1" x14ac:dyDescent="0.3">
      <c r="A40" s="14"/>
      <c r="B40" s="14"/>
      <c r="C40" s="14"/>
      <c r="D40" s="14"/>
      <c r="E40" s="14"/>
      <c r="F40" s="14"/>
      <c r="G40" s="14"/>
      <c r="H40" s="14"/>
      <c r="I40" s="14"/>
      <c r="J40" s="14"/>
    </row>
    <row r="41" spans="1:10" ht="16.5" thickTop="1" thickBot="1" x14ac:dyDescent="0.3">
      <c r="A41" s="14"/>
      <c r="B41" s="14"/>
      <c r="C41" s="14"/>
      <c r="D41" s="14"/>
      <c r="E41" s="14"/>
      <c r="F41" s="14"/>
      <c r="G41" s="14"/>
      <c r="H41" s="14"/>
      <c r="I41" s="14"/>
      <c r="J41" s="14"/>
    </row>
    <row r="42" spans="1:10" ht="16.5" thickTop="1" thickBot="1" x14ac:dyDescent="0.3">
      <c r="A42" s="14"/>
      <c r="B42" s="14"/>
      <c r="C42" s="14"/>
      <c r="D42" s="14"/>
      <c r="E42" s="14"/>
      <c r="F42" s="14"/>
      <c r="G42" s="14"/>
      <c r="H42" s="14"/>
      <c r="I42" s="14"/>
      <c r="J42" s="14"/>
    </row>
    <row r="43" spans="1:10" ht="16.5" thickTop="1" thickBot="1" x14ac:dyDescent="0.3">
      <c r="A43" s="14"/>
      <c r="B43" s="14"/>
      <c r="C43" s="14"/>
      <c r="D43" s="14"/>
      <c r="E43" s="14"/>
      <c r="F43" s="14"/>
      <c r="G43" s="14"/>
      <c r="H43" s="14"/>
      <c r="I43" s="14"/>
      <c r="J43" s="14"/>
    </row>
    <row r="44" spans="1:10" ht="16.5" thickTop="1" thickBot="1" x14ac:dyDescent="0.3">
      <c r="A44" s="14"/>
      <c r="B44" s="14"/>
      <c r="C44" s="14"/>
      <c r="D44" s="14"/>
      <c r="E44" s="14"/>
      <c r="F44" s="14"/>
      <c r="G44" s="14"/>
      <c r="H44" s="14"/>
      <c r="I44" s="14"/>
      <c r="J44" s="14"/>
    </row>
    <row r="45" spans="1:10" ht="16.5" thickTop="1" thickBot="1" x14ac:dyDescent="0.3">
      <c r="A45" s="14"/>
      <c r="B45" s="14"/>
      <c r="C45" s="14"/>
      <c r="D45" s="14"/>
      <c r="E45" s="14"/>
      <c r="F45" s="14"/>
      <c r="G45" s="14"/>
      <c r="H45" s="14"/>
      <c r="I45" s="14"/>
      <c r="J45" s="14"/>
    </row>
    <row r="46" spans="1:10" ht="16.5" thickTop="1" thickBot="1" x14ac:dyDescent="0.3">
      <c r="A46" s="14"/>
      <c r="B46" s="14"/>
      <c r="C46" s="14"/>
      <c r="D46" s="14"/>
      <c r="E46" s="14"/>
      <c r="F46" s="14"/>
      <c r="G46" s="14"/>
      <c r="H46" s="14"/>
      <c r="I46" s="14"/>
      <c r="J46" s="14"/>
    </row>
    <row r="47" spans="1:10" ht="16.5" thickTop="1" thickBot="1" x14ac:dyDescent="0.3">
      <c r="A47" s="14"/>
      <c r="B47" s="14"/>
      <c r="C47" s="14"/>
      <c r="D47" s="14"/>
      <c r="E47" s="14"/>
      <c r="F47" s="14"/>
      <c r="G47" s="14"/>
      <c r="H47" s="14"/>
      <c r="I47" s="14"/>
      <c r="J47" s="14"/>
    </row>
    <row r="48" spans="1:10" ht="16.5" thickTop="1" thickBot="1" x14ac:dyDescent="0.3">
      <c r="A48" s="14"/>
      <c r="B48" s="14"/>
      <c r="C48" s="14"/>
      <c r="D48" s="14"/>
      <c r="E48" s="14"/>
      <c r="F48" s="14"/>
      <c r="G48" s="14"/>
      <c r="H48" s="14"/>
      <c r="I48" s="14"/>
      <c r="J48" s="14"/>
    </row>
    <row r="49" spans="1:10" ht="16.5" thickTop="1" thickBot="1" x14ac:dyDescent="0.3">
      <c r="A49" s="14"/>
      <c r="B49" s="14"/>
      <c r="C49" s="14"/>
      <c r="D49" s="14"/>
      <c r="E49" s="14"/>
      <c r="F49" s="14"/>
      <c r="G49" s="14"/>
      <c r="H49" s="14"/>
      <c r="I49" s="14"/>
      <c r="J49" s="14"/>
    </row>
    <row r="50" spans="1:10" ht="16.5" thickTop="1" thickBot="1" x14ac:dyDescent="0.3">
      <c r="A50" s="14"/>
      <c r="B50" s="14"/>
      <c r="C50" s="14"/>
      <c r="D50" s="14"/>
      <c r="E50" s="14"/>
      <c r="F50" s="14"/>
      <c r="G50" s="14"/>
      <c r="H50" s="14"/>
      <c r="I50" s="14"/>
      <c r="J50" s="14"/>
    </row>
    <row r="51" spans="1:10" ht="16.5" thickTop="1" thickBot="1" x14ac:dyDescent="0.3">
      <c r="A51" s="14"/>
      <c r="B51" s="14"/>
      <c r="C51" s="14"/>
      <c r="D51" s="14"/>
      <c r="E51" s="14"/>
      <c r="F51" s="14"/>
      <c r="G51" s="14"/>
      <c r="H51" s="14"/>
      <c r="I51" s="14"/>
      <c r="J51" s="14"/>
    </row>
    <row r="52" spans="1:10" ht="16.5" thickTop="1" thickBot="1" x14ac:dyDescent="0.3">
      <c r="A52" s="14"/>
      <c r="B52" s="14"/>
      <c r="C52" s="14"/>
      <c r="D52" s="14"/>
      <c r="E52" s="14"/>
      <c r="F52" s="14"/>
      <c r="G52" s="14"/>
      <c r="H52" s="14"/>
      <c r="I52" s="14"/>
      <c r="J52" s="14"/>
    </row>
    <row r="53" spans="1:10" ht="16.5" thickTop="1" thickBot="1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</row>
    <row r="54" spans="1:10" ht="16.5" thickTop="1" thickBot="1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</row>
    <row r="55" spans="1:10" ht="16.5" thickTop="1" thickBot="1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</row>
    <row r="56" spans="1:10" ht="16.5" thickTop="1" thickBot="1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</row>
    <row r="57" spans="1:10" ht="16.5" thickTop="1" thickBot="1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</row>
    <row r="58" spans="1:10" ht="16.5" thickTop="1" thickBot="1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</row>
    <row r="59" spans="1:10" ht="16.5" thickTop="1" thickBot="1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</row>
    <row r="60" spans="1:10" ht="16.5" thickTop="1" thickBot="1" x14ac:dyDescent="0.3">
      <c r="A60" s="14"/>
      <c r="B60" s="14"/>
      <c r="C60" s="14"/>
      <c r="D60" s="14"/>
      <c r="E60" s="14"/>
      <c r="F60" s="14"/>
      <c r="G60" s="14"/>
      <c r="H60" s="14"/>
      <c r="I60" s="14"/>
      <c r="J60" s="14"/>
    </row>
    <row r="61" spans="1:10" ht="16.5" thickTop="1" thickBot="1" x14ac:dyDescent="0.3">
      <c r="A61" s="14"/>
      <c r="B61" s="14"/>
      <c r="C61" s="14"/>
      <c r="D61" s="14"/>
      <c r="E61" s="14"/>
      <c r="F61" s="14"/>
      <c r="G61" s="14"/>
      <c r="H61" s="14"/>
      <c r="I61" s="14"/>
      <c r="J61" s="14"/>
    </row>
    <row r="62" spans="1:10" ht="16.5" thickTop="1" thickBot="1" x14ac:dyDescent="0.3">
      <c r="A62" s="14"/>
      <c r="B62" s="14"/>
      <c r="C62" s="14"/>
      <c r="D62" s="14"/>
      <c r="E62" s="14"/>
      <c r="F62" s="14"/>
      <c r="G62" s="14"/>
      <c r="H62" s="14"/>
      <c r="I62" s="14"/>
      <c r="J62" s="14"/>
    </row>
    <row r="63" spans="1:10" ht="16.5" thickTop="1" thickBot="1" x14ac:dyDescent="0.3">
      <c r="A63" s="14"/>
      <c r="B63" s="14"/>
      <c r="C63" s="14"/>
      <c r="D63" s="14"/>
      <c r="E63" s="14"/>
      <c r="F63" s="14"/>
      <c r="G63" s="14"/>
      <c r="H63" s="14"/>
      <c r="I63" s="14"/>
      <c r="J63" s="14"/>
    </row>
    <row r="64" spans="1:10" ht="16.5" thickTop="1" thickBot="1" x14ac:dyDescent="0.3">
      <c r="A64" s="14"/>
      <c r="B64" s="14"/>
      <c r="C64" s="14"/>
      <c r="D64" s="14"/>
      <c r="E64" s="14"/>
      <c r="F64" s="14"/>
      <c r="G64" s="14"/>
      <c r="H64" s="14"/>
      <c r="I64" s="14"/>
      <c r="J64" s="14"/>
    </row>
    <row r="65" spans="1:10" ht="16.5" thickTop="1" thickBot="1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</row>
    <row r="66" spans="1:10" ht="16.5" thickTop="1" thickBot="1" x14ac:dyDescent="0.3">
      <c r="A66" s="14"/>
      <c r="B66" s="14"/>
      <c r="C66" s="14"/>
      <c r="D66" s="14"/>
      <c r="E66" s="14"/>
      <c r="F66" s="14"/>
      <c r="G66" s="14"/>
      <c r="H66" s="14"/>
      <c r="I66" s="14"/>
      <c r="J66" s="14"/>
    </row>
    <row r="67" spans="1:10" ht="16.5" thickTop="1" thickBot="1" x14ac:dyDescent="0.3">
      <c r="A67" s="14"/>
      <c r="B67" s="14"/>
      <c r="C67" s="14"/>
      <c r="D67" s="14"/>
      <c r="E67" s="14"/>
      <c r="F67" s="14"/>
      <c r="G67" s="14"/>
      <c r="H67" s="14"/>
      <c r="I67" s="14"/>
      <c r="J67" s="14"/>
    </row>
    <row r="68" spans="1:10" ht="16.5" thickTop="1" thickBot="1" x14ac:dyDescent="0.3">
      <c r="A68" s="14"/>
      <c r="B68" s="14"/>
      <c r="C68" s="14"/>
      <c r="D68" s="14"/>
      <c r="E68" s="14"/>
      <c r="F68" s="14"/>
      <c r="G68" s="14"/>
      <c r="H68" s="14"/>
      <c r="I68" s="14"/>
      <c r="J68" s="14"/>
    </row>
    <row r="69" spans="1:10" ht="16.5" thickTop="1" thickBot="1" x14ac:dyDescent="0.3">
      <c r="A69" s="14"/>
      <c r="B69" s="14"/>
      <c r="C69" s="14"/>
      <c r="D69" s="14"/>
      <c r="E69" s="14"/>
      <c r="F69" s="14"/>
      <c r="G69" s="14"/>
      <c r="H69" s="14"/>
      <c r="I69" s="14"/>
      <c r="J69" s="14"/>
    </row>
    <row r="70" spans="1:10" ht="16.5" thickTop="1" thickBot="1" x14ac:dyDescent="0.3">
      <c r="A70" s="14"/>
      <c r="B70" s="14"/>
      <c r="C70" s="14"/>
      <c r="D70" s="14"/>
      <c r="E70" s="14"/>
      <c r="F70" s="14"/>
      <c r="G70" s="14"/>
      <c r="H70" s="14"/>
      <c r="I70" s="14"/>
      <c r="J70" s="14"/>
    </row>
    <row r="71" spans="1:10" ht="16.5" thickTop="1" thickBot="1" x14ac:dyDescent="0.3">
      <c r="A71" s="14"/>
      <c r="B71" s="14"/>
      <c r="C71" s="14"/>
      <c r="D71" s="14"/>
      <c r="E71" s="14"/>
      <c r="F71" s="14"/>
      <c r="G71" s="14"/>
      <c r="H71" s="14"/>
      <c r="I71" s="14"/>
      <c r="J71" s="14"/>
    </row>
    <row r="72" spans="1:10" ht="16.5" thickTop="1" thickBot="1" x14ac:dyDescent="0.3">
      <c r="A72" s="14"/>
      <c r="B72" s="14"/>
      <c r="C72" s="14"/>
      <c r="D72" s="14"/>
      <c r="E72" s="14"/>
      <c r="F72" s="14"/>
      <c r="G72" s="14"/>
      <c r="H72" s="14"/>
      <c r="I72" s="14"/>
      <c r="J72" s="14"/>
    </row>
    <row r="73" spans="1:10" ht="16.5" thickTop="1" thickBot="1" x14ac:dyDescent="0.3">
      <c r="A73" s="14"/>
      <c r="B73" s="14"/>
      <c r="C73" s="14"/>
      <c r="D73" s="14"/>
      <c r="E73" s="14"/>
      <c r="F73" s="14"/>
      <c r="G73" s="14"/>
      <c r="H73" s="14"/>
      <c r="I73" s="14"/>
      <c r="J73" s="14"/>
    </row>
    <row r="74" spans="1:10" ht="16.5" thickTop="1" thickBot="1" x14ac:dyDescent="0.3">
      <c r="A74" s="14"/>
      <c r="B74" s="14"/>
      <c r="C74" s="14"/>
      <c r="D74" s="14"/>
      <c r="E74" s="14"/>
      <c r="F74" s="14"/>
      <c r="G74" s="14"/>
      <c r="H74" s="14"/>
      <c r="I74" s="14"/>
      <c r="J74" s="14"/>
    </row>
    <row r="75" spans="1:10" ht="16.5" thickTop="1" thickBot="1" x14ac:dyDescent="0.3">
      <c r="A75" s="14"/>
      <c r="B75" s="14"/>
      <c r="C75" s="14"/>
      <c r="D75" s="14"/>
      <c r="E75" s="14"/>
      <c r="F75" s="14"/>
      <c r="G75" s="14"/>
      <c r="H75" s="14"/>
      <c r="I75" s="14"/>
      <c r="J75" s="14"/>
    </row>
    <row r="76" spans="1:10" ht="16.5" thickTop="1" thickBot="1" x14ac:dyDescent="0.3">
      <c r="A76" s="14"/>
      <c r="B76" s="14"/>
      <c r="C76" s="14"/>
      <c r="D76" s="14"/>
      <c r="E76" s="14"/>
      <c r="F76" s="14"/>
      <c r="G76" s="14"/>
      <c r="H76" s="14"/>
      <c r="I76" s="14"/>
      <c r="J76" s="14"/>
    </row>
    <row r="77" spans="1:10" ht="16.5" thickTop="1" thickBot="1" x14ac:dyDescent="0.3">
      <c r="A77" s="14"/>
      <c r="B77" s="14"/>
      <c r="C77" s="14"/>
      <c r="D77" s="14"/>
      <c r="E77" s="14"/>
      <c r="F77" s="14"/>
      <c r="G77" s="14"/>
      <c r="H77" s="14"/>
      <c r="I77" s="14"/>
      <c r="J77" s="14"/>
    </row>
    <row r="78" spans="1:10" ht="16.5" thickTop="1" thickBot="1" x14ac:dyDescent="0.3">
      <c r="A78" s="14"/>
      <c r="B78" s="14"/>
      <c r="C78" s="14"/>
      <c r="D78" s="14"/>
      <c r="E78" s="14"/>
      <c r="F78" s="14"/>
      <c r="G78" s="14"/>
      <c r="H78" s="14"/>
      <c r="I78" s="14"/>
      <c r="J78" s="14"/>
    </row>
    <row r="79" spans="1:10" ht="16.5" thickTop="1" thickBot="1" x14ac:dyDescent="0.3">
      <c r="A79" s="14"/>
      <c r="B79" s="14"/>
      <c r="C79" s="14"/>
      <c r="D79" s="14"/>
      <c r="E79" s="14"/>
      <c r="F79" s="14"/>
      <c r="G79" s="14"/>
      <c r="H79" s="14"/>
      <c r="I79" s="14"/>
      <c r="J79" s="14"/>
    </row>
    <row r="80" spans="1:10" ht="16.5" thickTop="1" thickBot="1" x14ac:dyDescent="0.3">
      <c r="A80" s="14"/>
      <c r="B80" s="14"/>
      <c r="C80" s="14"/>
      <c r="D80" s="14"/>
      <c r="E80" s="14"/>
      <c r="F80" s="14"/>
      <c r="G80" s="14"/>
      <c r="H80" s="14"/>
      <c r="I80" s="14"/>
      <c r="J80" s="14"/>
    </row>
    <row r="81" spans="1:10" ht="16.5" thickTop="1" thickBot="1" x14ac:dyDescent="0.3">
      <c r="A81" s="14"/>
      <c r="B81" s="14"/>
      <c r="C81" s="14"/>
      <c r="D81" s="14"/>
      <c r="E81" s="14"/>
      <c r="F81" s="14"/>
      <c r="G81" s="14"/>
      <c r="H81" s="14"/>
      <c r="I81" s="14"/>
      <c r="J81" s="14"/>
    </row>
    <row r="82" spans="1:10" ht="16.5" thickTop="1" thickBot="1" x14ac:dyDescent="0.3">
      <c r="A82" s="14"/>
      <c r="B82" s="14"/>
      <c r="C82" s="14"/>
      <c r="D82" s="14"/>
      <c r="E82" s="14"/>
      <c r="F82" s="14"/>
      <c r="G82" s="14"/>
      <c r="H82" s="14"/>
      <c r="I82" s="14"/>
      <c r="J82" s="14"/>
    </row>
    <row r="83" spans="1:10" ht="16.5" thickTop="1" thickBot="1" x14ac:dyDescent="0.3">
      <c r="A83" s="14"/>
      <c r="B83" s="14"/>
      <c r="C83" s="14"/>
      <c r="D83" s="14"/>
      <c r="E83" s="14"/>
      <c r="F83" s="14"/>
      <c r="G83" s="14"/>
      <c r="H83" s="14"/>
      <c r="I83" s="14"/>
      <c r="J83" s="14"/>
    </row>
    <row r="84" spans="1:10" ht="16.5" thickTop="1" thickBot="1" x14ac:dyDescent="0.3">
      <c r="A84" s="14"/>
      <c r="B84" s="14"/>
      <c r="C84" s="14"/>
      <c r="D84" s="14"/>
      <c r="E84" s="14"/>
      <c r="F84" s="14"/>
      <c r="G84" s="14"/>
      <c r="H84" s="14"/>
      <c r="I84" s="14"/>
      <c r="J84" s="14"/>
    </row>
    <row r="85" spans="1:10" ht="16.5" thickTop="1" thickBot="1" x14ac:dyDescent="0.3">
      <c r="A85" s="14"/>
      <c r="B85" s="14"/>
      <c r="C85" s="14"/>
      <c r="D85" s="14"/>
      <c r="E85" s="14"/>
      <c r="F85" s="14"/>
      <c r="G85" s="14"/>
      <c r="H85" s="14"/>
      <c r="I85" s="14"/>
      <c r="J85" s="14"/>
    </row>
    <row r="86" spans="1:10" ht="16.5" thickTop="1" thickBot="1" x14ac:dyDescent="0.3">
      <c r="A86" s="14"/>
      <c r="B86" s="14"/>
      <c r="C86" s="14"/>
      <c r="D86" s="14"/>
      <c r="E86" s="14"/>
      <c r="F86" s="14"/>
      <c r="G86" s="14"/>
      <c r="H86" s="14"/>
      <c r="I86" s="14"/>
      <c r="J86" s="14"/>
    </row>
    <row r="87" spans="1:10" ht="16.5" thickTop="1" thickBot="1" x14ac:dyDescent="0.3">
      <c r="A87" s="14"/>
      <c r="B87" s="14"/>
      <c r="C87" s="14"/>
      <c r="D87" s="14"/>
      <c r="E87" s="14"/>
      <c r="F87" s="14"/>
      <c r="G87" s="14"/>
      <c r="H87" s="14"/>
      <c r="I87" s="14"/>
      <c r="J87" s="14"/>
    </row>
    <row r="88" spans="1:10" ht="16.5" thickTop="1" thickBot="1" x14ac:dyDescent="0.3">
      <c r="A88" s="14"/>
      <c r="B88" s="14"/>
      <c r="C88" s="14"/>
      <c r="D88" s="14"/>
      <c r="E88" s="14"/>
      <c r="F88" s="14"/>
      <c r="G88" s="14"/>
      <c r="H88" s="14"/>
      <c r="I88" s="14"/>
      <c r="J88" s="14"/>
    </row>
    <row r="89" spans="1:10" ht="16.5" thickTop="1" thickBot="1" x14ac:dyDescent="0.3">
      <c r="A89" s="14"/>
      <c r="B89" s="14"/>
      <c r="C89" s="14"/>
      <c r="D89" s="14"/>
      <c r="E89" s="14"/>
      <c r="F89" s="14"/>
      <c r="G89" s="14"/>
      <c r="H89" s="14"/>
      <c r="I89" s="14"/>
      <c r="J89" s="14"/>
    </row>
    <row r="90" spans="1:10" ht="16.5" thickTop="1" thickBot="1" x14ac:dyDescent="0.3">
      <c r="A90" s="14"/>
      <c r="B90" s="14"/>
      <c r="C90" s="14"/>
      <c r="D90" s="14"/>
      <c r="E90" s="14"/>
      <c r="F90" s="14"/>
      <c r="G90" s="14"/>
      <c r="H90" s="14"/>
      <c r="I90" s="14"/>
      <c r="J90" s="14"/>
    </row>
    <row r="91" spans="1:10" ht="16.5" thickTop="1" thickBot="1" x14ac:dyDescent="0.3">
      <c r="A91" s="14"/>
      <c r="B91" s="14"/>
      <c r="C91" s="14"/>
      <c r="D91" s="14"/>
      <c r="E91" s="14"/>
      <c r="F91" s="14"/>
      <c r="G91" s="14"/>
      <c r="H91" s="14"/>
      <c r="I91" s="14"/>
      <c r="J91" s="14"/>
    </row>
    <row r="92" spans="1:10" ht="16.5" thickTop="1" thickBot="1" x14ac:dyDescent="0.3">
      <c r="A92" s="14"/>
      <c r="B92" s="14"/>
      <c r="C92" s="14"/>
      <c r="D92" s="14"/>
      <c r="E92" s="14"/>
      <c r="F92" s="14"/>
      <c r="G92" s="14"/>
      <c r="H92" s="14"/>
      <c r="I92" s="14"/>
      <c r="J92" s="14"/>
    </row>
    <row r="93" spans="1:10" ht="16.5" thickTop="1" thickBot="1" x14ac:dyDescent="0.3">
      <c r="A93" s="14"/>
      <c r="B93" s="14"/>
      <c r="C93" s="14"/>
      <c r="D93" s="14"/>
      <c r="E93" s="14"/>
      <c r="F93" s="14"/>
      <c r="G93" s="14"/>
      <c r="H93" s="14"/>
      <c r="I93" s="14"/>
      <c r="J93" s="14"/>
    </row>
    <row r="94" spans="1:10" ht="16.5" thickTop="1" thickBot="1" x14ac:dyDescent="0.3">
      <c r="A94" s="14"/>
      <c r="B94" s="14"/>
      <c r="C94" s="14"/>
      <c r="D94" s="14"/>
      <c r="E94" s="14"/>
      <c r="F94" s="14"/>
      <c r="G94" s="14"/>
      <c r="H94" s="14"/>
      <c r="I94" s="14"/>
      <c r="J94" s="14"/>
    </row>
    <row r="95" spans="1:10" ht="16.5" thickTop="1" thickBot="1" x14ac:dyDescent="0.3">
      <c r="A95" s="14"/>
      <c r="B95" s="14"/>
      <c r="C95" s="14"/>
      <c r="D95" s="14"/>
      <c r="E95" s="14"/>
      <c r="F95" s="14"/>
      <c r="G95" s="14"/>
      <c r="H95" s="14"/>
      <c r="I95" s="14"/>
      <c r="J95" s="14"/>
    </row>
    <row r="96" spans="1:10" ht="16.5" thickTop="1" thickBot="1" x14ac:dyDescent="0.3">
      <c r="A96" s="14"/>
      <c r="B96" s="14"/>
      <c r="C96" s="14"/>
      <c r="D96" s="14"/>
      <c r="E96" s="14"/>
      <c r="F96" s="14"/>
      <c r="G96" s="14"/>
      <c r="H96" s="14"/>
      <c r="I96" s="14"/>
      <c r="J96" s="14"/>
    </row>
    <row r="97" spans="1:10" ht="16.5" thickTop="1" thickBot="1" x14ac:dyDescent="0.3">
      <c r="A97" s="14"/>
      <c r="B97" s="14"/>
      <c r="C97" s="14"/>
      <c r="D97" s="14"/>
      <c r="E97" s="14"/>
      <c r="F97" s="14"/>
      <c r="G97" s="14"/>
      <c r="H97" s="14"/>
      <c r="I97" s="14"/>
      <c r="J97" s="14"/>
    </row>
    <row r="98" spans="1:10" ht="16.5" thickTop="1" thickBot="1" x14ac:dyDescent="0.3">
      <c r="A98" s="14"/>
      <c r="B98" s="14"/>
      <c r="C98" s="14"/>
      <c r="D98" s="14"/>
      <c r="E98" s="14"/>
      <c r="F98" s="14"/>
      <c r="G98" s="14"/>
      <c r="H98" s="14"/>
      <c r="I98" s="14"/>
      <c r="J98" s="14"/>
    </row>
    <row r="99" spans="1:10" ht="16.5" thickTop="1" thickBot="1" x14ac:dyDescent="0.3">
      <c r="A99" s="14"/>
      <c r="B99" s="14"/>
      <c r="C99" s="14"/>
      <c r="D99" s="14"/>
      <c r="E99" s="14"/>
      <c r="F99" s="14"/>
      <c r="G99" s="14"/>
      <c r="H99" s="14"/>
      <c r="I99" s="14"/>
      <c r="J99" s="14"/>
    </row>
    <row r="100" spans="1:10" ht="16.5" thickTop="1" thickBot="1" x14ac:dyDescent="0.3">
      <c r="A100" s="14"/>
      <c r="B100" s="14"/>
      <c r="C100" s="14"/>
      <c r="D100" s="14"/>
      <c r="E100" s="14"/>
      <c r="F100" s="14"/>
      <c r="G100" s="14"/>
      <c r="H100" s="14"/>
      <c r="I100" s="14"/>
      <c r="J100" s="14"/>
    </row>
    <row r="101" spans="1:10" ht="16.5" thickTop="1" thickBot="1" x14ac:dyDescent="0.3">
      <c r="A101" s="14"/>
      <c r="B101" s="14"/>
      <c r="C101" s="14"/>
      <c r="D101" s="14"/>
      <c r="E101" s="14"/>
      <c r="F101" s="14"/>
      <c r="G101" s="14"/>
      <c r="H101" s="14"/>
      <c r="I101" s="14"/>
      <c r="J101" s="14"/>
    </row>
    <row r="102" spans="1:10" ht="16.5" thickTop="1" thickBot="1" x14ac:dyDescent="0.3">
      <c r="A102" s="14"/>
      <c r="B102" s="14"/>
      <c r="C102" s="14"/>
      <c r="D102" s="14"/>
      <c r="E102" s="14"/>
      <c r="F102" s="14"/>
      <c r="G102" s="14"/>
      <c r="H102" s="14"/>
      <c r="I102" s="14"/>
      <c r="J102" s="14"/>
    </row>
    <row r="103" spans="1:10" ht="16.5" thickTop="1" thickBot="1" x14ac:dyDescent="0.3">
      <c r="A103" s="14"/>
      <c r="B103" s="14"/>
      <c r="C103" s="14"/>
      <c r="D103" s="14"/>
      <c r="E103" s="14"/>
      <c r="F103" s="14"/>
      <c r="G103" s="14"/>
      <c r="H103" s="14"/>
      <c r="I103" s="14"/>
      <c r="J103" s="14"/>
    </row>
    <row r="104" spans="1:10" ht="16.5" thickTop="1" thickBot="1" x14ac:dyDescent="0.3">
      <c r="A104" s="14"/>
      <c r="B104" s="14"/>
      <c r="C104" s="14"/>
      <c r="D104" s="14"/>
      <c r="E104" s="14"/>
      <c r="F104" s="14"/>
      <c r="G104" s="14"/>
      <c r="H104" s="14"/>
      <c r="I104" s="14"/>
      <c r="J104" s="14"/>
    </row>
    <row r="105" spans="1:10" ht="16.5" thickTop="1" thickBot="1" x14ac:dyDescent="0.3">
      <c r="A105" s="14"/>
      <c r="B105" s="14"/>
      <c r="C105" s="14"/>
      <c r="D105" s="14"/>
      <c r="E105" s="14"/>
      <c r="F105" s="14"/>
      <c r="G105" s="14"/>
      <c r="H105" s="14"/>
      <c r="I105" s="14"/>
      <c r="J105" s="14"/>
    </row>
    <row r="106" spans="1:10" ht="16.5" thickTop="1" thickBot="1" x14ac:dyDescent="0.3">
      <c r="A106" s="14"/>
      <c r="B106" s="14"/>
      <c r="C106" s="14"/>
      <c r="D106" s="14"/>
      <c r="E106" s="14"/>
      <c r="F106" s="14"/>
      <c r="G106" s="14"/>
      <c r="H106" s="14"/>
      <c r="I106" s="14"/>
      <c r="J106" s="14"/>
    </row>
    <row r="107" spans="1:10" ht="16.5" thickTop="1" thickBot="1" x14ac:dyDescent="0.3">
      <c r="A107" s="14"/>
      <c r="B107" s="14"/>
      <c r="C107" s="14"/>
      <c r="D107" s="14"/>
      <c r="E107" s="14"/>
      <c r="F107" s="14"/>
      <c r="G107" s="14"/>
      <c r="H107" s="14"/>
      <c r="I107" s="14"/>
      <c r="J107" s="14"/>
    </row>
    <row r="108" spans="1:10" ht="16.5" thickTop="1" thickBot="1" x14ac:dyDescent="0.3">
      <c r="A108" s="14"/>
      <c r="B108" s="14"/>
      <c r="C108" s="14"/>
      <c r="D108" s="14"/>
      <c r="E108" s="14"/>
      <c r="F108" s="14"/>
      <c r="G108" s="14"/>
      <c r="H108" s="14"/>
      <c r="I108" s="14"/>
      <c r="J108" s="14"/>
    </row>
    <row r="109" spans="1:10" ht="16.5" thickTop="1" thickBot="1" x14ac:dyDescent="0.3">
      <c r="A109" s="14"/>
      <c r="B109" s="14"/>
      <c r="C109" s="14"/>
      <c r="D109" s="14"/>
      <c r="E109" s="14"/>
      <c r="F109" s="14"/>
      <c r="G109" s="14"/>
      <c r="H109" s="14"/>
      <c r="I109" s="14"/>
      <c r="J109" s="14"/>
    </row>
    <row r="110" spans="1:10" ht="16.5" thickTop="1" thickBot="1" x14ac:dyDescent="0.3">
      <c r="A110" s="14"/>
      <c r="B110" s="14"/>
      <c r="C110" s="14"/>
      <c r="D110" s="14"/>
      <c r="E110" s="14"/>
      <c r="F110" s="14"/>
      <c r="G110" s="14"/>
      <c r="H110" s="14"/>
      <c r="I110" s="14"/>
      <c r="J110" s="14"/>
    </row>
    <row r="111" spans="1:10" ht="16.5" thickTop="1" thickBot="1" x14ac:dyDescent="0.3">
      <c r="A111" s="14"/>
      <c r="B111" s="14"/>
      <c r="C111" s="14"/>
      <c r="D111" s="14"/>
      <c r="E111" s="14"/>
      <c r="F111" s="14"/>
      <c r="G111" s="14"/>
      <c r="H111" s="14"/>
      <c r="I111" s="14"/>
      <c r="J111" s="14"/>
    </row>
    <row r="112" spans="1:10" ht="16.5" thickTop="1" thickBot="1" x14ac:dyDescent="0.3">
      <c r="A112" s="14"/>
      <c r="B112" s="14"/>
      <c r="C112" s="14"/>
      <c r="D112" s="14"/>
      <c r="E112" s="14"/>
      <c r="F112" s="14"/>
      <c r="G112" s="14"/>
      <c r="H112" s="14"/>
      <c r="I112" s="14"/>
      <c r="J112" s="14"/>
    </row>
    <row r="113" spans="1:10" ht="16.5" thickTop="1" thickBot="1" x14ac:dyDescent="0.3">
      <c r="A113" s="14"/>
      <c r="B113" s="14"/>
      <c r="C113" s="14"/>
      <c r="D113" s="14"/>
      <c r="E113" s="14"/>
      <c r="F113" s="14"/>
      <c r="G113" s="14"/>
      <c r="H113" s="14"/>
      <c r="I113" s="14"/>
      <c r="J113" s="14"/>
    </row>
    <row r="114" spans="1:10" ht="16.5" thickTop="1" thickBot="1" x14ac:dyDescent="0.3">
      <c r="A114" s="14"/>
      <c r="B114" s="14"/>
      <c r="C114" s="14"/>
      <c r="D114" s="14"/>
      <c r="E114" s="14"/>
      <c r="F114" s="14"/>
      <c r="G114" s="14"/>
      <c r="H114" s="14"/>
      <c r="I114" s="14"/>
      <c r="J114" s="14"/>
    </row>
    <row r="115" spans="1:10" ht="16.5" thickTop="1" thickBot="1" x14ac:dyDescent="0.3">
      <c r="A115" s="14"/>
      <c r="B115" s="14"/>
      <c r="C115" s="14"/>
      <c r="D115" s="14"/>
      <c r="E115" s="14"/>
      <c r="F115" s="14"/>
      <c r="G115" s="14"/>
      <c r="H115" s="14"/>
      <c r="I115" s="14"/>
      <c r="J115" s="14"/>
    </row>
    <row r="116" spans="1:10" ht="16.5" thickTop="1" thickBot="1" x14ac:dyDescent="0.3">
      <c r="A116" s="14"/>
      <c r="B116" s="14"/>
      <c r="C116" s="14"/>
      <c r="D116" s="14"/>
      <c r="E116" s="14"/>
      <c r="F116" s="14"/>
      <c r="G116" s="14"/>
      <c r="H116" s="14"/>
      <c r="I116" s="14"/>
      <c r="J116" s="14"/>
    </row>
    <row r="117" spans="1:10" ht="16.5" thickTop="1" thickBot="1" x14ac:dyDescent="0.3">
      <c r="A117" s="14"/>
      <c r="B117" s="14"/>
      <c r="C117" s="14"/>
      <c r="D117" s="14"/>
      <c r="E117" s="14"/>
      <c r="F117" s="14"/>
      <c r="G117" s="14"/>
      <c r="H117" s="14"/>
      <c r="I117" s="14"/>
      <c r="J117" s="14"/>
    </row>
    <row r="118" spans="1:10" ht="16.5" thickTop="1" thickBot="1" x14ac:dyDescent="0.3">
      <c r="A118" s="14"/>
      <c r="B118" s="14"/>
      <c r="C118" s="14"/>
      <c r="D118" s="14"/>
      <c r="E118" s="14"/>
      <c r="F118" s="14"/>
      <c r="G118" s="14"/>
      <c r="H118" s="14"/>
      <c r="I118" s="14"/>
      <c r="J118" s="14"/>
    </row>
    <row r="119" spans="1:10" ht="16.5" thickTop="1" thickBot="1" x14ac:dyDescent="0.3">
      <c r="A119" s="14"/>
      <c r="B119" s="14"/>
      <c r="C119" s="14"/>
      <c r="D119" s="14"/>
      <c r="E119" s="14"/>
      <c r="F119" s="14"/>
      <c r="G119" s="14"/>
      <c r="H119" s="14"/>
      <c r="I119" s="14"/>
      <c r="J119" s="14"/>
    </row>
    <row r="120" spans="1:10" ht="16.5" thickTop="1" thickBot="1" x14ac:dyDescent="0.3">
      <c r="A120" s="14"/>
      <c r="B120" s="14"/>
      <c r="C120" s="14"/>
      <c r="D120" s="14"/>
      <c r="E120" s="14"/>
      <c r="F120" s="14"/>
      <c r="G120" s="14"/>
      <c r="H120" s="14"/>
      <c r="I120" s="14"/>
      <c r="J120" s="14"/>
    </row>
    <row r="121" spans="1:10" ht="16.5" thickTop="1" thickBot="1" x14ac:dyDescent="0.3">
      <c r="A121" s="14"/>
      <c r="B121" s="14"/>
      <c r="C121" s="14"/>
      <c r="D121" s="14"/>
      <c r="E121" s="14"/>
      <c r="F121" s="14"/>
      <c r="G121" s="14"/>
      <c r="H121" s="14"/>
      <c r="I121" s="14"/>
      <c r="J121" s="14"/>
    </row>
    <row r="122" spans="1:10" ht="16.5" thickTop="1" thickBot="1" x14ac:dyDescent="0.3">
      <c r="A122" s="14"/>
      <c r="B122" s="14"/>
      <c r="C122" s="14"/>
      <c r="D122" s="14"/>
      <c r="E122" s="14"/>
      <c r="F122" s="14"/>
      <c r="G122" s="14"/>
      <c r="H122" s="14"/>
      <c r="I122" s="14"/>
      <c r="J122" s="14"/>
    </row>
    <row r="123" spans="1:10" ht="16.5" thickTop="1" thickBot="1" x14ac:dyDescent="0.3">
      <c r="A123" s="14"/>
      <c r="B123" s="14"/>
      <c r="C123" s="14"/>
      <c r="D123" s="14"/>
      <c r="E123" s="14"/>
      <c r="F123" s="14"/>
      <c r="G123" s="14"/>
      <c r="H123" s="14"/>
      <c r="I123" s="14"/>
      <c r="J123" s="14"/>
    </row>
    <row r="124" spans="1:10" ht="16.5" thickTop="1" thickBot="1" x14ac:dyDescent="0.3">
      <c r="A124" s="14"/>
      <c r="B124" s="14"/>
      <c r="C124" s="14"/>
      <c r="D124" s="14"/>
      <c r="E124" s="14"/>
      <c r="F124" s="14"/>
      <c r="G124" s="14"/>
      <c r="H124" s="14"/>
      <c r="I124" s="14"/>
      <c r="J124" s="14"/>
    </row>
    <row r="125" spans="1:10" ht="16.5" thickTop="1" thickBot="1" x14ac:dyDescent="0.3">
      <c r="A125" s="14"/>
      <c r="B125" s="14"/>
      <c r="C125" s="14"/>
      <c r="D125" s="14"/>
      <c r="E125" s="14"/>
      <c r="F125" s="14"/>
      <c r="G125" s="14"/>
      <c r="H125" s="14"/>
      <c r="I125" s="14"/>
      <c r="J125" s="14"/>
    </row>
    <row r="126" spans="1:10" ht="16.5" thickTop="1" thickBot="1" x14ac:dyDescent="0.3">
      <c r="A126" s="14"/>
      <c r="B126" s="14"/>
      <c r="C126" s="14"/>
      <c r="D126" s="14"/>
      <c r="E126" s="14"/>
      <c r="F126" s="14"/>
      <c r="G126" s="14"/>
      <c r="H126" s="14"/>
      <c r="I126" s="14"/>
      <c r="J126" s="14"/>
    </row>
    <row r="127" spans="1:10" ht="16.5" thickTop="1" thickBot="1" x14ac:dyDescent="0.3">
      <c r="A127" s="14"/>
      <c r="B127" s="14"/>
      <c r="C127" s="14"/>
      <c r="D127" s="14"/>
      <c r="E127" s="14"/>
      <c r="F127" s="14"/>
      <c r="G127" s="14"/>
      <c r="H127" s="14"/>
      <c r="I127" s="14"/>
      <c r="J127" s="14"/>
    </row>
    <row r="128" spans="1:10" ht="16.5" thickTop="1" thickBot="1" x14ac:dyDescent="0.3">
      <c r="A128" s="14"/>
      <c r="B128" s="14"/>
      <c r="C128" s="14"/>
      <c r="D128" s="14"/>
      <c r="E128" s="14"/>
      <c r="F128" s="14"/>
      <c r="G128" s="14"/>
      <c r="H128" s="14"/>
      <c r="I128" s="14"/>
      <c r="J128" s="14"/>
    </row>
    <row r="129" spans="1:10" ht="16.5" thickTop="1" thickBot="1" x14ac:dyDescent="0.3">
      <c r="A129" s="14"/>
      <c r="B129" s="14"/>
      <c r="C129" s="14"/>
      <c r="D129" s="14"/>
      <c r="E129" s="14"/>
      <c r="F129" s="14"/>
      <c r="G129" s="14"/>
      <c r="H129" s="14"/>
      <c r="I129" s="14"/>
      <c r="J129" s="14"/>
    </row>
    <row r="130" spans="1:10" ht="16.5" thickTop="1" thickBot="1" x14ac:dyDescent="0.3">
      <c r="A130" s="14"/>
      <c r="B130" s="14"/>
      <c r="C130" s="14"/>
      <c r="D130" s="14"/>
      <c r="E130" s="14"/>
      <c r="F130" s="14"/>
      <c r="G130" s="14"/>
      <c r="H130" s="14"/>
      <c r="I130" s="14"/>
      <c r="J130" s="14"/>
    </row>
    <row r="131" spans="1:10" ht="16.5" thickTop="1" thickBot="1" x14ac:dyDescent="0.3">
      <c r="A131" s="14"/>
      <c r="B131" s="14"/>
      <c r="C131" s="14"/>
      <c r="D131" s="14"/>
      <c r="E131" s="14"/>
      <c r="F131" s="14"/>
      <c r="G131" s="14"/>
      <c r="H131" s="14"/>
      <c r="I131" s="14"/>
      <c r="J131" s="14"/>
    </row>
    <row r="132" spans="1:10" ht="16.5" thickTop="1" thickBot="1" x14ac:dyDescent="0.3">
      <c r="A132" s="14"/>
      <c r="B132" s="14"/>
      <c r="C132" s="14"/>
      <c r="D132" s="14"/>
      <c r="E132" s="14"/>
      <c r="F132" s="14"/>
      <c r="G132" s="14"/>
      <c r="H132" s="14"/>
      <c r="I132" s="14"/>
      <c r="J132" s="14"/>
    </row>
    <row r="133" spans="1:10" ht="16.5" thickTop="1" thickBot="1" x14ac:dyDescent="0.3">
      <c r="A133" s="14"/>
      <c r="B133" s="14"/>
      <c r="C133" s="14"/>
      <c r="D133" s="14"/>
      <c r="E133" s="14"/>
      <c r="F133" s="14"/>
      <c r="G133" s="14"/>
      <c r="H133" s="14"/>
      <c r="I133" s="14"/>
      <c r="J133" s="14"/>
    </row>
    <row r="134" spans="1:10" ht="16.5" thickTop="1" thickBot="1" x14ac:dyDescent="0.3">
      <c r="A134" s="14"/>
      <c r="B134" s="14"/>
      <c r="C134" s="14"/>
      <c r="D134" s="14"/>
      <c r="E134" s="14"/>
      <c r="F134" s="14"/>
      <c r="G134" s="14"/>
      <c r="H134" s="14"/>
      <c r="I134" s="14"/>
      <c r="J134" s="14"/>
    </row>
    <row r="135" spans="1:10" ht="16.5" thickTop="1" thickBot="1" x14ac:dyDescent="0.3">
      <c r="A135" s="14"/>
      <c r="B135" s="14"/>
      <c r="C135" s="14"/>
      <c r="D135" s="14"/>
      <c r="E135" s="14"/>
      <c r="F135" s="14"/>
      <c r="G135" s="14"/>
      <c r="H135" s="14"/>
      <c r="I135" s="14"/>
      <c r="J135" s="14"/>
    </row>
    <row r="136" spans="1:10" ht="15.75" thickTop="1" x14ac:dyDescent="0.25"/>
  </sheetData>
  <mergeCells count="1">
    <mergeCell ref="A2:J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tabSelected="1" workbookViewId="0">
      <selection activeCell="A6" sqref="A6"/>
    </sheetView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3"/>
  <sheetViews>
    <sheetView workbookViewId="0">
      <selection activeCell="D22" sqref="D22"/>
    </sheetView>
  </sheetViews>
  <sheetFormatPr baseColWidth="10" defaultRowHeight="15" x14ac:dyDescent="0.25"/>
  <sheetData>
    <row r="1" spans="1:1" x14ac:dyDescent="0.25">
      <c r="A1" t="s">
        <v>22</v>
      </c>
    </row>
    <row r="2" spans="1:1" x14ac:dyDescent="0.25">
      <c r="A2" t="s">
        <v>23</v>
      </c>
    </row>
    <row r="3" spans="1:1" x14ac:dyDescent="0.25">
      <c r="A3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25</v>
      </c>
    </row>
    <row r="2" spans="1:1" x14ac:dyDescent="0.25">
      <c r="A2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Menu</vt:lpstr>
      <vt:lpstr>données_salaire</vt:lpstr>
      <vt:lpstr>bulletin_salaire</vt:lpstr>
      <vt:lpstr>LIVRE_Paie</vt:lpstr>
      <vt:lpstr>écriture_comptable</vt:lpstr>
      <vt:lpstr>Etat_civil</vt:lpstr>
      <vt:lpstr>Elt_categorie</vt:lpstr>
      <vt:lpstr>SEXE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2020-05-31T20:44:36Z</dcterms:modified>
</cp:coreProperties>
</file>