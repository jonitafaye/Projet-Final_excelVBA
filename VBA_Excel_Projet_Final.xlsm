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projet_final_VBAExcel\"/>
    </mc:Choice>
  </mc:AlternateContent>
  <bookViews>
    <workbookView xWindow="240" yWindow="105" windowWidth="14805" windowHeight="8010" tabRatio="611"/>
  </bookViews>
  <sheets>
    <sheet name="Menu" sheetId="1" r:id="rId1"/>
    <sheet name="données_salaire" sheetId="2" r:id="rId2"/>
    <sheet name="LIVRE_Paie" sheetId="7" r:id="rId3"/>
    <sheet name="bulletin_salaire" sheetId="5" r:id="rId4"/>
    <sheet name="écriture_comptable" sheetId="8" r:id="rId5"/>
    <sheet name="Tableau de bord" sheetId="9" r:id="rId6"/>
    <sheet name="Etat_civil" sheetId="6" r:id="rId7"/>
    <sheet name="Elt_categorie" sheetId="3" r:id="rId8"/>
    <sheet name="SEXE" sheetId="4" r:id="rId9"/>
  </sheets>
  <functionGroups builtInGroupCount="18"/>
  <definedNames>
    <definedName name="_xlnm._FilterDatabase" localSheetId="1" hidden="1">données_salaire!$X$1:$AA$51</definedName>
  </definedNames>
  <calcPr calcId="152511"/>
  <pivotCaches>
    <pivotCache cacheId="0" r:id="rId10"/>
    <pivotCache cacheId="1" r:id="rId11"/>
    <pivotCache cacheId="2" r:id="rId12"/>
  </pivotCaches>
</workbook>
</file>

<file path=xl/calcChain.xml><?xml version="1.0" encoding="utf-8"?>
<calcChain xmlns="http://schemas.openxmlformats.org/spreadsheetml/2006/main">
  <c r="G23" i="8" l="1"/>
  <c r="I52" i="7"/>
  <c r="H17" i="8" s="1"/>
  <c r="S52" i="7"/>
  <c r="G10" i="8" s="1"/>
  <c r="L52" i="7"/>
  <c r="H14" i="8" s="1"/>
  <c r="M52" i="7"/>
  <c r="H19" i="8" s="1"/>
  <c r="G3" i="7"/>
  <c r="G5" i="7"/>
  <c r="G7" i="7"/>
  <c r="G9" i="7"/>
  <c r="G11" i="7"/>
  <c r="G13" i="7"/>
  <c r="G15" i="7"/>
  <c r="G17" i="7"/>
  <c r="G19" i="7"/>
  <c r="G21" i="7"/>
  <c r="G23" i="7"/>
  <c r="G25" i="7"/>
  <c r="G27" i="7"/>
  <c r="G29" i="7"/>
  <c r="G31" i="7"/>
  <c r="G33" i="7"/>
  <c r="G35" i="7"/>
  <c r="G37" i="7"/>
  <c r="G39" i="7"/>
  <c r="G41" i="7"/>
  <c r="G43" i="7"/>
  <c r="G45" i="7"/>
  <c r="G47" i="7"/>
  <c r="G49" i="7"/>
  <c r="G51" i="7"/>
  <c r="G4" i="7"/>
  <c r="G6" i="7"/>
  <c r="G8" i="7"/>
  <c r="G10" i="7"/>
  <c r="G12" i="7"/>
  <c r="G14" i="7"/>
  <c r="G16" i="7"/>
  <c r="G18" i="7"/>
  <c r="G20" i="7"/>
  <c r="G22" i="7"/>
  <c r="G24" i="7"/>
  <c r="G26" i="7"/>
  <c r="G28" i="7"/>
  <c r="G30" i="7"/>
  <c r="G32" i="7"/>
  <c r="G34" i="7"/>
  <c r="G36" i="7"/>
  <c r="G38" i="7"/>
  <c r="G40" i="7"/>
  <c r="G42" i="7"/>
  <c r="G44" i="7"/>
  <c r="G46" i="7"/>
  <c r="G48" i="7"/>
  <c r="G50" i="7"/>
  <c r="G2" i="7"/>
  <c r="G5" i="8" l="1"/>
  <c r="H6" i="8" s="1"/>
  <c r="D14" i="7"/>
  <c r="D30" i="7"/>
  <c r="D46" i="7"/>
  <c r="D13" i="7"/>
  <c r="D29" i="7"/>
  <c r="D45" i="7"/>
  <c r="D12" i="7"/>
  <c r="D28" i="7"/>
  <c r="D44" i="7"/>
  <c r="D11" i="7"/>
  <c r="D27" i="7"/>
  <c r="D43" i="7"/>
  <c r="D18" i="7"/>
  <c r="D34" i="7"/>
  <c r="D50" i="7"/>
  <c r="D17" i="7"/>
  <c r="D33" i="7"/>
  <c r="D49" i="7"/>
  <c r="D16" i="7"/>
  <c r="D32" i="7"/>
  <c r="D48" i="7"/>
  <c r="D15" i="7"/>
  <c r="D31" i="7"/>
  <c r="D47" i="7"/>
  <c r="AA50" i="2"/>
  <c r="X48" i="2"/>
  <c r="AA12" i="2"/>
  <c r="Z18" i="2"/>
  <c r="Y37" i="2"/>
  <c r="X33" i="2"/>
  <c r="Y51" i="2"/>
  <c r="Z11" i="2"/>
  <c r="Y38" i="2"/>
  <c r="AA24" i="2"/>
  <c r="Y16" i="2"/>
  <c r="X42" i="2"/>
  <c r="X27" i="2"/>
  <c r="Y2" i="2"/>
  <c r="AA26" i="2"/>
  <c r="Y18" i="2"/>
  <c r="AA6" i="2"/>
  <c r="AA32" i="2"/>
  <c r="Y24" i="2"/>
  <c r="Z28" i="2"/>
  <c r="AA42" i="2"/>
  <c r="AA37" i="2"/>
  <c r="Y29" i="2"/>
  <c r="Z46" i="2"/>
  <c r="Y22" i="2"/>
  <c r="AA8" i="2"/>
  <c r="AA38" i="2"/>
  <c r="X46" i="2"/>
  <c r="X31" i="2"/>
  <c r="Z22" i="2"/>
  <c r="Y48" i="2"/>
  <c r="AA2" i="2"/>
  <c r="AA19" i="2"/>
  <c r="Y11" i="2"/>
  <c r="X38" i="2"/>
  <c r="Y46" i="2"/>
  <c r="X9" i="2"/>
  <c r="Y23" i="2"/>
  <c r="AA7" i="2"/>
  <c r="Z7" i="2"/>
  <c r="AA45" i="2"/>
  <c r="X43" i="2"/>
  <c r="AA28" i="2"/>
  <c r="Z34" i="2"/>
  <c r="Y20" i="2"/>
  <c r="X16" i="2"/>
  <c r="X50" i="2"/>
  <c r="Z20" i="2"/>
  <c r="AA41" i="2"/>
  <c r="AA25" i="2"/>
  <c r="Y17" i="2"/>
  <c r="AA44" i="2"/>
  <c r="Y31" i="2"/>
  <c r="Z5" i="2"/>
  <c r="X41" i="2"/>
  <c r="Z25" i="2"/>
  <c r="X15" i="2"/>
  <c r="AA49" i="2"/>
  <c r="AA33" i="2"/>
  <c r="Y25" i="2"/>
  <c r="Z49" i="2"/>
  <c r="Y14" i="2"/>
  <c r="Y41" i="2"/>
  <c r="Z21" i="2"/>
  <c r="X24" i="2"/>
  <c r="X44" i="2"/>
  <c r="X29" i="2"/>
  <c r="Y30" i="2"/>
  <c r="AA10" i="2"/>
  <c r="X3" i="2"/>
  <c r="AA16" i="2"/>
  <c r="Z19" i="2"/>
  <c r="Z45" i="2"/>
  <c r="Z24" i="2"/>
  <c r="X39" i="2"/>
  <c r="AA21" i="2"/>
  <c r="X28" i="2"/>
  <c r="Y40" i="2"/>
  <c r="Z50" i="2"/>
  <c r="Y26" i="2"/>
  <c r="D6" i="7"/>
  <c r="D22" i="7"/>
  <c r="D38" i="7"/>
  <c r="D5" i="7"/>
  <c r="D21" i="7"/>
  <c r="D37" i="7"/>
  <c r="D4" i="7"/>
  <c r="D20" i="7"/>
  <c r="D36" i="7"/>
  <c r="D3" i="7"/>
  <c r="D19" i="7"/>
  <c r="D35" i="7"/>
  <c r="D10" i="7"/>
  <c r="D26" i="7"/>
  <c r="D42" i="7"/>
  <c r="D9" i="7"/>
  <c r="D25" i="7"/>
  <c r="D41" i="7"/>
  <c r="D8" i="7"/>
  <c r="D24" i="7"/>
  <c r="D40" i="7"/>
  <c r="D7" i="7"/>
  <c r="D23" i="7"/>
  <c r="D39" i="7"/>
  <c r="D2" i="7"/>
  <c r="Y49" i="2"/>
  <c r="AA13" i="2"/>
  <c r="Z9" i="2"/>
  <c r="Z39" i="2"/>
  <c r="Y36" i="2"/>
  <c r="X32" i="2"/>
  <c r="AA15" i="2"/>
  <c r="Y7" i="2"/>
  <c r="Z51" i="2"/>
  <c r="Z30" i="2"/>
  <c r="X12" i="2"/>
  <c r="Z12" i="2"/>
  <c r="X6" i="2"/>
  <c r="Z42" i="2"/>
  <c r="Z32" i="2"/>
  <c r="X14" i="2"/>
  <c r="Z48" i="2"/>
  <c r="Z38" i="2"/>
  <c r="X20" i="2"/>
  <c r="X35" i="2"/>
  <c r="X51" i="2"/>
  <c r="Z10" i="2"/>
  <c r="X25" i="2"/>
  <c r="AA30" i="2"/>
  <c r="AA46" i="2"/>
  <c r="Y33" i="2"/>
  <c r="Y3" i="2"/>
  <c r="Z16" i="2"/>
  <c r="X5" i="2"/>
  <c r="X37" i="2"/>
  <c r="X11" i="2"/>
  <c r="Y44" i="2"/>
  <c r="Z15" i="2"/>
  <c r="X7" i="2"/>
  <c r="Z2" i="2"/>
  <c r="Z17" i="2"/>
  <c r="AA47" i="2"/>
  <c r="Z31" i="2"/>
  <c r="AA4" i="2"/>
  <c r="Z13" i="2"/>
  <c r="Z44" i="2"/>
  <c r="AA29" i="2"/>
  <c r="Z29" i="2"/>
  <c r="Y21" i="2"/>
  <c r="X17" i="2"/>
  <c r="Z41" i="2"/>
  <c r="AA14" i="2"/>
  <c r="Y39" i="2"/>
  <c r="Y50" i="2"/>
  <c r="Z23" i="2"/>
  <c r="X13" i="2"/>
  <c r="AA39" i="2"/>
  <c r="X26" i="2"/>
  <c r="AA43" i="2"/>
  <c r="AA27" i="2"/>
  <c r="Y19" i="2"/>
  <c r="Y5" i="2"/>
  <c r="X47" i="2"/>
  <c r="Z37" i="2"/>
  <c r="X21" i="2"/>
  <c r="AA22" i="2"/>
  <c r="X34" i="2"/>
  <c r="AA36" i="2"/>
  <c r="Y28" i="2"/>
  <c r="Z36" i="2"/>
  <c r="Z14" i="2"/>
  <c r="Y43" i="2"/>
  <c r="AA48" i="2"/>
  <c r="Y35" i="2"/>
  <c r="Z43" i="2"/>
  <c r="E43" i="7" s="1"/>
  <c r="Y8" i="2"/>
  <c r="Y4" i="2"/>
  <c r="AA18" i="2"/>
  <c r="Y10" i="2"/>
  <c r="AA5" i="2"/>
  <c r="X40" i="2"/>
  <c r="Y47" i="2"/>
  <c r="AA3" i="2"/>
  <c r="AA34" i="2"/>
  <c r="E29" i="7"/>
  <c r="E37" i="7"/>
  <c r="E38" i="7"/>
  <c r="E14" i="7"/>
  <c r="Z26" i="2"/>
  <c r="X45" i="2"/>
  <c r="Y45" i="2"/>
  <c r="Z27" i="2"/>
  <c r="Z4" i="2"/>
  <c r="AA23" i="2"/>
  <c r="AA35" i="2"/>
  <c r="Y6" i="2"/>
  <c r="E21" i="7"/>
  <c r="F29" i="7"/>
  <c r="F37" i="7"/>
  <c r="F38" i="7"/>
  <c r="F21" i="7"/>
  <c r="AA31" i="2"/>
  <c r="E44" i="7"/>
  <c r="H44" i="7" s="1"/>
  <c r="E5" i="7"/>
  <c r="X19" i="2"/>
  <c r="Z35" i="2"/>
  <c r="E35" i="7" s="1"/>
  <c r="AA51" i="2"/>
  <c r="E16" i="7"/>
  <c r="H29" i="7"/>
  <c r="F44" i="7"/>
  <c r="F16" i="7"/>
  <c r="Y13" i="2"/>
  <c r="X10" i="2"/>
  <c r="Y42" i="2"/>
  <c r="X2" i="2"/>
  <c r="X22" i="2"/>
  <c r="E31" i="7"/>
  <c r="E48" i="7"/>
  <c r="D51" i="7"/>
  <c r="E50" i="7"/>
  <c r="Z47" i="2"/>
  <c r="Y12" i="2"/>
  <c r="AA40" i="2"/>
  <c r="X30" i="2"/>
  <c r="X36" i="2"/>
  <c r="Z6" i="2"/>
  <c r="Z8" i="2"/>
  <c r="X4" i="2"/>
  <c r="E42" i="7"/>
  <c r="E45" i="7"/>
  <c r="E12" i="7"/>
  <c r="E28" i="7"/>
  <c r="E19" i="7"/>
  <c r="H21" i="7"/>
  <c r="H31" i="7"/>
  <c r="E51" i="7"/>
  <c r="H43" i="7"/>
  <c r="H5" i="7"/>
  <c r="H48" i="7"/>
  <c r="F31" i="7"/>
  <c r="F48" i="7"/>
  <c r="H42" i="7"/>
  <c r="H45" i="7"/>
  <c r="F12" i="7"/>
  <c r="F28" i="7"/>
  <c r="F19" i="7"/>
  <c r="J48" i="7"/>
  <c r="K48" i="7"/>
  <c r="J29" i="7"/>
  <c r="J38" i="7"/>
  <c r="J44" i="7"/>
  <c r="H35" i="7"/>
  <c r="J12" i="7"/>
  <c r="J16" i="7"/>
  <c r="J28" i="7"/>
  <c r="K38" i="7"/>
  <c r="K29" i="7"/>
  <c r="E41" i="7"/>
  <c r="X8" i="2"/>
  <c r="Y32" i="2"/>
  <c r="Y9" i="2"/>
  <c r="Y27" i="2"/>
  <c r="E39" i="7"/>
  <c r="F39" i="7" s="1"/>
  <c r="F43" i="7"/>
  <c r="E27" i="7"/>
  <c r="H27" i="7" s="1"/>
  <c r="H39" i="7"/>
  <c r="AA9" i="2"/>
  <c r="Y34" i="2"/>
  <c r="Y15" i="2"/>
  <c r="Z40" i="2"/>
  <c r="Z3" i="2"/>
  <c r="E3" i="7" s="1"/>
  <c r="E13" i="7"/>
  <c r="E24" i="7"/>
  <c r="H24" i="7" s="1"/>
  <c r="E25" i="7"/>
  <c r="E10" i="7"/>
  <c r="H13" i="7"/>
  <c r="H14" i="7"/>
  <c r="AA20" i="2"/>
  <c r="Z33" i="2"/>
  <c r="E33" i="7" s="1"/>
  <c r="AA11" i="2"/>
  <c r="E11" i="7" s="1"/>
  <c r="F11" i="7" s="1"/>
  <c r="AA17" i="2"/>
  <c r="X18" i="2"/>
  <c r="X49" i="2"/>
  <c r="X23" i="2"/>
  <c r="E23" i="7" s="1"/>
  <c r="H23" i="7" s="1"/>
  <c r="E46" i="7"/>
  <c r="E9" i="7"/>
  <c r="E7" i="7"/>
  <c r="E32" i="7"/>
  <c r="H32" i="7" s="1"/>
  <c r="E40" i="7"/>
  <c r="H19" i="7"/>
  <c r="H37" i="7"/>
  <c r="H40" i="7"/>
  <c r="H38" i="7"/>
  <c r="E26" i="7"/>
  <c r="H11" i="7"/>
  <c r="H12" i="7"/>
  <c r="H26" i="7"/>
  <c r="H28" i="7"/>
  <c r="F13" i="7"/>
  <c r="F24" i="7"/>
  <c r="F14" i="7"/>
  <c r="F5" i="7"/>
  <c r="E4" i="7"/>
  <c r="H4" i="7" s="1"/>
  <c r="E6" i="7"/>
  <c r="H6" i="7" s="1"/>
  <c r="H16" i="7"/>
  <c r="H7" i="7"/>
  <c r="H9" i="7"/>
  <c r="F32" i="7"/>
  <c r="F40" i="7"/>
  <c r="F26" i="7"/>
  <c r="J31" i="7"/>
  <c r="J24" i="7"/>
  <c r="F27" i="7"/>
  <c r="F23" i="7"/>
  <c r="F35" i="7"/>
  <c r="K31" i="7"/>
  <c r="J37" i="7"/>
  <c r="J14" i="7"/>
  <c r="K14" i="7" s="1"/>
  <c r="J43" i="7"/>
  <c r="F4" i="7"/>
  <c r="F6" i="7"/>
  <c r="J6" i="7" s="1"/>
  <c r="J21" i="7"/>
  <c r="J39" i="7"/>
  <c r="K39" i="7" s="1"/>
  <c r="J23" i="7"/>
  <c r="J32" i="7"/>
  <c r="K32" i="7" s="1"/>
  <c r="J19" i="7"/>
  <c r="J11" i="7"/>
  <c r="J4" i="7"/>
  <c r="K16" i="7"/>
  <c r="K37" i="7"/>
  <c r="N37" i="7" s="1"/>
  <c r="K4" i="7"/>
  <c r="K11" i="7"/>
  <c r="K24" i="7"/>
  <c r="N4" i="7"/>
  <c r="N39" i="7"/>
  <c r="N14" i="7"/>
  <c r="N11" i="7"/>
  <c r="N32" i="7"/>
  <c r="E22" i="7"/>
  <c r="F25" i="7"/>
  <c r="H25" i="7"/>
  <c r="H50" i="7"/>
  <c r="H10" i="7"/>
  <c r="E18" i="7"/>
  <c r="H51" i="7"/>
  <c r="F3" i="7"/>
  <c r="J25" i="7"/>
  <c r="F50" i="7"/>
  <c r="E49" i="7"/>
  <c r="H22" i="7"/>
  <c r="H18" i="7"/>
  <c r="F49" i="7"/>
  <c r="N16" i="7"/>
  <c r="E8" i="7"/>
  <c r="N24" i="7"/>
  <c r="F51" i="7"/>
  <c r="F8" i="7"/>
  <c r="O6" i="7"/>
  <c r="F10" i="7"/>
  <c r="E30" i="7"/>
  <c r="H30" i="7" s="1"/>
  <c r="F22" i="7"/>
  <c r="H3" i="7"/>
  <c r="J50" i="7"/>
  <c r="F30" i="7"/>
  <c r="F18" i="7"/>
  <c r="H49" i="7"/>
  <c r="J3" i="7"/>
  <c r="J49" i="7"/>
  <c r="N31" i="7"/>
  <c r="E17" i="7"/>
  <c r="H17" i="7" s="1"/>
  <c r="N38" i="7"/>
  <c r="N48" i="7"/>
  <c r="H8" i="7"/>
  <c r="F17" i="7"/>
  <c r="J51" i="7"/>
  <c r="J8" i="7"/>
  <c r="J17" i="7"/>
  <c r="K51" i="7"/>
  <c r="F41" i="7"/>
  <c r="H41" i="7"/>
  <c r="F33" i="7"/>
  <c r="H33" i="7"/>
  <c r="H46" i="7"/>
  <c r="J13" i="7"/>
  <c r="K13" i="7" s="1"/>
  <c r="N13" i="7" s="1"/>
  <c r="J5" i="7"/>
  <c r="K5" i="7" s="1"/>
  <c r="N5" i="7" s="1"/>
  <c r="J40" i="7"/>
  <c r="K40" i="7" s="1"/>
  <c r="N40" i="7" s="1"/>
  <c r="J26" i="7"/>
  <c r="J27" i="7"/>
  <c r="K27" i="7" s="1"/>
  <c r="N27" i="7" s="1"/>
  <c r="J35" i="7"/>
  <c r="J10" i="7"/>
  <c r="J22" i="7"/>
  <c r="J30" i="7"/>
  <c r="J18" i="7"/>
  <c r="J41" i="7"/>
  <c r="K41" i="7" s="1"/>
  <c r="N41" i="7" s="1"/>
  <c r="J33" i="7"/>
  <c r="D52" i="7" l="1"/>
  <c r="K33" i="7"/>
  <c r="N33" i="7" s="1"/>
  <c r="P41" i="7"/>
  <c r="K30" i="7"/>
  <c r="N30" i="7" s="1"/>
  <c r="K10" i="7"/>
  <c r="K35" i="7"/>
  <c r="N35" i="7" s="1"/>
  <c r="K26" i="7"/>
  <c r="N26" i="7" s="1"/>
  <c r="P5" i="7"/>
  <c r="O33" i="7"/>
  <c r="K17" i="7"/>
  <c r="N17" i="7" s="1"/>
  <c r="O17" i="7"/>
  <c r="P38" i="7"/>
  <c r="K49" i="7"/>
  <c r="K3" i="7"/>
  <c r="O18" i="7"/>
  <c r="O22" i="7"/>
  <c r="O10" i="7"/>
  <c r="O8" i="7"/>
  <c r="P24" i="7"/>
  <c r="O49" i="7"/>
  <c r="O50" i="7"/>
  <c r="O3" i="7"/>
  <c r="P32" i="7"/>
  <c r="P14" i="7"/>
  <c r="P4" i="7"/>
  <c r="K19" i="7"/>
  <c r="N19" i="7" s="1"/>
  <c r="K21" i="7"/>
  <c r="N21" i="7" s="1"/>
  <c r="O4" i="7"/>
  <c r="O35" i="7"/>
  <c r="O27" i="7"/>
  <c r="O40" i="7"/>
  <c r="O5" i="7"/>
  <c r="O24" i="7"/>
  <c r="F7" i="7"/>
  <c r="F46" i="7"/>
  <c r="E20" i="7"/>
  <c r="E34" i="7"/>
  <c r="O39" i="7"/>
  <c r="K28" i="7"/>
  <c r="K44" i="7"/>
  <c r="O28" i="7"/>
  <c r="O48" i="7"/>
  <c r="F45" i="7"/>
  <c r="E36" i="7"/>
  <c r="E2" i="7"/>
  <c r="O44" i="7"/>
  <c r="O38" i="7"/>
  <c r="O29" i="7"/>
  <c r="K18" i="7"/>
  <c r="K22" i="7"/>
  <c r="P27" i="7"/>
  <c r="P40" i="7"/>
  <c r="P13" i="7"/>
  <c r="O41" i="7"/>
  <c r="N51" i="7"/>
  <c r="K8" i="7"/>
  <c r="P48" i="7"/>
  <c r="P31" i="7"/>
  <c r="O30" i="7"/>
  <c r="K50" i="7"/>
  <c r="O51" i="7"/>
  <c r="P16" i="7"/>
  <c r="K25" i="7"/>
  <c r="Q4" i="7"/>
  <c r="R4" i="7" s="1"/>
  <c r="O25" i="7"/>
  <c r="P11" i="7"/>
  <c r="P39" i="7"/>
  <c r="Q39" i="7" s="1"/>
  <c r="R39" i="7" s="1"/>
  <c r="P37" i="7"/>
  <c r="K23" i="7"/>
  <c r="N23" i="7" s="1"/>
  <c r="K6" i="7"/>
  <c r="K43" i="7"/>
  <c r="N43" i="7" s="1"/>
  <c r="O23" i="7"/>
  <c r="O26" i="7"/>
  <c r="O32" i="7"/>
  <c r="O14" i="7"/>
  <c r="O13" i="7"/>
  <c r="Q13" i="7" s="1"/>
  <c r="R13" i="7" s="1"/>
  <c r="F9" i="7"/>
  <c r="O11" i="7"/>
  <c r="E15" i="7"/>
  <c r="O43" i="7"/>
  <c r="N29" i="7"/>
  <c r="K12" i="7"/>
  <c r="N12" i="7" s="1"/>
  <c r="O19" i="7"/>
  <c r="O12" i="7"/>
  <c r="O31" i="7"/>
  <c r="F42" i="7"/>
  <c r="E47" i="7"/>
  <c r="O16" i="7"/>
  <c r="O21" i="7"/>
  <c r="O37" i="7"/>
  <c r="J7" i="7"/>
  <c r="J46" i="7"/>
  <c r="F20" i="7"/>
  <c r="H20" i="7"/>
  <c r="F34" i="7"/>
  <c r="H34" i="7"/>
  <c r="J45" i="7"/>
  <c r="K45" i="7" s="1"/>
  <c r="H36" i="7"/>
  <c r="F2" i="7"/>
  <c r="H2" i="7"/>
  <c r="J9" i="7"/>
  <c r="H15" i="7"/>
  <c r="F15" i="7"/>
  <c r="J42" i="7"/>
  <c r="K42" i="7" s="1"/>
  <c r="F47" i="7"/>
  <c r="H47" i="7"/>
  <c r="O20" i="7"/>
  <c r="J20" i="7"/>
  <c r="K20" i="7" s="1"/>
  <c r="N20" i="7" s="1"/>
  <c r="J34" i="7"/>
  <c r="K34" i="7" s="1"/>
  <c r="N34" i="7" s="1"/>
  <c r="O2" i="7"/>
  <c r="J2" i="7"/>
  <c r="J15" i="7"/>
  <c r="J47" i="7"/>
  <c r="K2" i="7"/>
  <c r="N2" i="7"/>
  <c r="P2" i="7"/>
  <c r="Q2" i="7"/>
  <c r="R2" i="7"/>
  <c r="T2" i="7"/>
  <c r="H52" i="7" l="1"/>
  <c r="H16" i="8" s="1"/>
  <c r="E52" i="7"/>
  <c r="G9" i="8" s="1"/>
  <c r="H11" i="8" s="1"/>
  <c r="K15" i="7"/>
  <c r="N15" i="7" s="1"/>
  <c r="P34" i="7"/>
  <c r="P20" i="7"/>
  <c r="O47" i="7"/>
  <c r="O15" i="7"/>
  <c r="N45" i="7"/>
  <c r="K46" i="7"/>
  <c r="N46" i="7" s="1"/>
  <c r="O42" i="7"/>
  <c r="P29" i="7"/>
  <c r="T13" i="7"/>
  <c r="N6" i="7"/>
  <c r="Q37" i="7"/>
  <c r="R37" i="7" s="1"/>
  <c r="Q11" i="7"/>
  <c r="R11" i="7" s="1"/>
  <c r="N25" i="7"/>
  <c r="N50" i="7"/>
  <c r="Q48" i="7"/>
  <c r="R48" i="7" s="1"/>
  <c r="P51" i="7"/>
  <c r="Q27" i="7"/>
  <c r="R27" i="7" s="1"/>
  <c r="N18" i="7"/>
  <c r="F36" i="7"/>
  <c r="N44" i="7"/>
  <c r="O46" i="7"/>
  <c r="P21" i="7"/>
  <c r="Q14" i="7"/>
  <c r="R14" i="7" s="1"/>
  <c r="Q24" i="7"/>
  <c r="R24" i="7" s="1"/>
  <c r="N49" i="7"/>
  <c r="P17" i="7"/>
  <c r="P26" i="7"/>
  <c r="N10" i="7"/>
  <c r="Q41" i="7"/>
  <c r="R41" i="7" s="1"/>
  <c r="O45" i="7"/>
  <c r="N28" i="7"/>
  <c r="O7" i="7"/>
  <c r="P19" i="7"/>
  <c r="Q32" i="7"/>
  <c r="R32" i="7" s="1"/>
  <c r="N3" i="7"/>
  <c r="Q38" i="7"/>
  <c r="R38" i="7" s="1"/>
  <c r="Q5" i="7"/>
  <c r="R5" i="7" s="1"/>
  <c r="P35" i="7"/>
  <c r="P30" i="7"/>
  <c r="P33" i="7"/>
  <c r="Q33" i="7" s="1"/>
  <c r="R33" i="7" s="1"/>
  <c r="K47" i="7"/>
  <c r="Q20" i="7"/>
  <c r="R20" i="7" s="1"/>
  <c r="N42" i="7"/>
  <c r="K9" i="7"/>
  <c r="N9" i="7" s="1"/>
  <c r="O34" i="7"/>
  <c r="Q34" i="7" s="1"/>
  <c r="R34" i="7" s="1"/>
  <c r="K7" i="7"/>
  <c r="P12" i="7"/>
  <c r="O9" i="7"/>
  <c r="P43" i="7"/>
  <c r="P23" i="7"/>
  <c r="T39" i="7"/>
  <c r="T4" i="7"/>
  <c r="Q16" i="7"/>
  <c r="R16" i="7" s="1"/>
  <c r="Q31" i="7"/>
  <c r="R31" i="7" s="1"/>
  <c r="N8" i="7"/>
  <c r="Q40" i="7"/>
  <c r="R40" i="7" s="1"/>
  <c r="N22" i="7"/>
  <c r="J36" i="7"/>
  <c r="N7" i="7"/>
  <c r="G52" i="7" l="1"/>
  <c r="H15" i="8" s="1"/>
  <c r="J52" i="7"/>
  <c r="F52" i="7"/>
  <c r="P7" i="7"/>
  <c r="K36" i="7"/>
  <c r="P22" i="7"/>
  <c r="Q22" i="7" s="1"/>
  <c r="R22" i="7" s="1"/>
  <c r="P8" i="7"/>
  <c r="Q8" i="7" s="1"/>
  <c r="R8" i="7" s="1"/>
  <c r="T16" i="7"/>
  <c r="Q43" i="7"/>
  <c r="R43" i="7" s="1"/>
  <c r="P28" i="7"/>
  <c r="Q21" i="7"/>
  <c r="R21" i="7" s="1"/>
  <c r="P50" i="7"/>
  <c r="Q50" i="7" s="1"/>
  <c r="R50" i="7" s="1"/>
  <c r="P46" i="7"/>
  <c r="T40" i="7"/>
  <c r="T31" i="7"/>
  <c r="Q23" i="7"/>
  <c r="R23" i="7" s="1"/>
  <c r="Q12" i="7"/>
  <c r="R12" i="7" s="1"/>
  <c r="T34" i="7"/>
  <c r="P42" i="7"/>
  <c r="N47" i="7"/>
  <c r="Q30" i="7"/>
  <c r="R30" i="7" s="1"/>
  <c r="T5" i="7"/>
  <c r="P3" i="7"/>
  <c r="T32" i="7"/>
  <c r="T41" i="7"/>
  <c r="Q26" i="7"/>
  <c r="R26" i="7" s="1"/>
  <c r="P49" i="7"/>
  <c r="Q49" i="7" s="1"/>
  <c r="R49" i="7" s="1"/>
  <c r="T14" i="7"/>
  <c r="P44" i="7"/>
  <c r="T27" i="7"/>
  <c r="T48" i="7"/>
  <c r="P25" i="7"/>
  <c r="Q25" i="7" s="1"/>
  <c r="R25" i="7" s="1"/>
  <c r="T37" i="7"/>
  <c r="Q29" i="7"/>
  <c r="R29" i="7" s="1"/>
  <c r="P45" i="7"/>
  <c r="P9" i="7"/>
  <c r="T20" i="7"/>
  <c r="T33" i="7"/>
  <c r="Q35" i="7"/>
  <c r="R35" i="7" s="1"/>
  <c r="T38" i="7"/>
  <c r="Q19" i="7"/>
  <c r="R19" i="7" s="1"/>
  <c r="P10" i="7"/>
  <c r="Q10" i="7" s="1"/>
  <c r="R10" i="7" s="1"/>
  <c r="Q17" i="7"/>
  <c r="R17" i="7" s="1"/>
  <c r="T24" i="7"/>
  <c r="O36" i="7"/>
  <c r="P18" i="7"/>
  <c r="Q18" i="7" s="1"/>
  <c r="R18" i="7" s="1"/>
  <c r="Q51" i="7"/>
  <c r="R51" i="7" s="1"/>
  <c r="T11" i="7"/>
  <c r="P6" i="7"/>
  <c r="Q6" i="7" s="1"/>
  <c r="R6" i="7" s="1"/>
  <c r="T6" i="7" s="1"/>
  <c r="P15" i="7"/>
  <c r="N36" i="7"/>
  <c r="Q3" i="7"/>
  <c r="R3" i="7"/>
  <c r="N52" i="7" l="1"/>
  <c r="O52" i="7"/>
  <c r="K52" i="7"/>
  <c r="T3" i="7"/>
  <c r="T35" i="7"/>
  <c r="T25" i="7"/>
  <c r="P47" i="7"/>
  <c r="Q47" i="7" s="1"/>
  <c r="R47" i="7" s="1"/>
  <c r="T21" i="7"/>
  <c r="P36" i="7"/>
  <c r="Q15" i="7"/>
  <c r="R15" i="7" s="1"/>
  <c r="T18" i="7"/>
  <c r="T17" i="7"/>
  <c r="T19" i="7"/>
  <c r="Q9" i="7"/>
  <c r="R9" i="7" s="1"/>
  <c r="T29" i="7"/>
  <c r="Q44" i="7"/>
  <c r="R44" i="7" s="1"/>
  <c r="T26" i="7"/>
  <c r="T30" i="7"/>
  <c r="Q42" i="7"/>
  <c r="R42" i="7" s="1"/>
  <c r="T23" i="7"/>
  <c r="T50" i="7"/>
  <c r="Q28" i="7"/>
  <c r="R28" i="7" s="1"/>
  <c r="T8" i="7"/>
  <c r="T51" i="7"/>
  <c r="T10" i="7"/>
  <c r="Q45" i="7"/>
  <c r="R45" i="7" s="1"/>
  <c r="T49" i="7"/>
  <c r="T12" i="7"/>
  <c r="Q46" i="7"/>
  <c r="R46" i="7" s="1"/>
  <c r="T43" i="7"/>
  <c r="T22" i="7"/>
  <c r="Q7" i="7"/>
  <c r="R7" i="7"/>
  <c r="P52" i="7" l="1"/>
  <c r="H18" i="8" s="1"/>
  <c r="T7" i="7"/>
  <c r="T45" i="7"/>
  <c r="T42" i="7"/>
  <c r="T9" i="7"/>
  <c r="Q36" i="7"/>
  <c r="T46" i="7"/>
  <c r="T28" i="7"/>
  <c r="T44" i="7"/>
  <c r="T15" i="7"/>
  <c r="T47" i="7"/>
  <c r="R36" i="7"/>
  <c r="R52" i="7" l="1"/>
  <c r="G22" i="8" s="1"/>
  <c r="H24" i="8" s="1"/>
  <c r="Q52" i="7"/>
  <c r="G13" i="8" s="1"/>
  <c r="T36" i="7"/>
  <c r="T52" i="7" l="1"/>
</calcChain>
</file>

<file path=xl/sharedStrings.xml><?xml version="1.0" encoding="utf-8"?>
<sst xmlns="http://schemas.openxmlformats.org/spreadsheetml/2006/main" count="827" uniqueCount="310">
  <si>
    <t>N°</t>
  </si>
  <si>
    <t>Matricule</t>
  </si>
  <si>
    <t>Prenom</t>
  </si>
  <si>
    <t>Nom</t>
  </si>
  <si>
    <t>date_naissance</t>
  </si>
  <si>
    <t>Lieu_naissance</t>
  </si>
  <si>
    <t>Sexe</t>
  </si>
  <si>
    <t>Catégorie</t>
  </si>
  <si>
    <t>Etat_civil</t>
  </si>
  <si>
    <t>Nbre_epouse</t>
  </si>
  <si>
    <t>Nbre_enfants</t>
  </si>
  <si>
    <t>sursalaire</t>
  </si>
  <si>
    <t>H_supp_15</t>
  </si>
  <si>
    <t>H_supp_40</t>
  </si>
  <si>
    <t>H_supp_60</t>
  </si>
  <si>
    <t>H_supp_100</t>
  </si>
  <si>
    <t>Prime</t>
  </si>
  <si>
    <t>Avantages</t>
  </si>
  <si>
    <t>Indemnité</t>
  </si>
  <si>
    <t>IPM</t>
  </si>
  <si>
    <t>Avance_Accompte</t>
  </si>
  <si>
    <t>Opposition</t>
  </si>
  <si>
    <t>A</t>
  </si>
  <si>
    <t>B</t>
  </si>
  <si>
    <t>C</t>
  </si>
  <si>
    <t>F</t>
  </si>
  <si>
    <t>M</t>
  </si>
  <si>
    <t>salaire de base</t>
  </si>
  <si>
    <t>Marié</t>
  </si>
  <si>
    <t>Célibataire</t>
  </si>
  <si>
    <t>THIES</t>
  </si>
  <si>
    <t>BIENVENU A L'APPLICATION DE LA GESTION DE PAIE</t>
  </si>
  <si>
    <t>1231-BA/B</t>
  </si>
  <si>
    <t>ADAMA</t>
  </si>
  <si>
    <t>BA</t>
  </si>
  <si>
    <t>DAKAR</t>
  </si>
  <si>
    <t>1232-BAMPASSY/B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</si>
  <si>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</si>
  <si>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</si>
  <si>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</si>
  <si>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</si>
  <si>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</si>
  <si>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</si>
  <si>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</si>
  <si>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</si>
  <si>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</si>
  <si>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</si>
  <si>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</si>
  <si>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</si>
  <si>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</si>
  <si>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</si>
  <si>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1235-CISSE/C</t>
  </si>
  <si>
    <t>LAHAT</t>
  </si>
  <si>
    <t>CISSE</t>
  </si>
  <si>
    <t>17/04/1983</t>
  </si>
  <si>
    <t>GUEDIAWAYE</t>
  </si>
  <si>
    <t>SALAIRE_BASE</t>
  </si>
  <si>
    <t>Hsup15</t>
  </si>
  <si>
    <t>Hsup40</t>
  </si>
  <si>
    <t>Hsup60</t>
  </si>
  <si>
    <t>Hsup100</t>
  </si>
  <si>
    <t>salaire brut social</t>
  </si>
  <si>
    <t>salaire brut fiscal</t>
  </si>
  <si>
    <t>regime general</t>
  </si>
  <si>
    <t>regime cadre</t>
  </si>
  <si>
    <t>BULLETIN DE SALAIRE</t>
  </si>
  <si>
    <t>Matricule:</t>
  </si>
  <si>
    <t>Salaire brut social</t>
  </si>
  <si>
    <t>avantage</t>
  </si>
  <si>
    <t>Salaire brut fiscal</t>
  </si>
  <si>
    <t>Regime general</t>
  </si>
  <si>
    <t>Regime cadre</t>
  </si>
  <si>
    <t>TRIMF</t>
  </si>
  <si>
    <t>IR</t>
  </si>
  <si>
    <t>Prime non imposable</t>
  </si>
  <si>
    <t>Retenues</t>
  </si>
  <si>
    <t>Total des retenues</t>
  </si>
  <si>
    <t>Salaire NET</t>
  </si>
  <si>
    <t>Prime imposable</t>
  </si>
  <si>
    <t>NETà payer</t>
  </si>
  <si>
    <t>FAYE</t>
  </si>
  <si>
    <t>HABIB</t>
  </si>
  <si>
    <t>Etat civil</t>
  </si>
  <si>
    <t>Nombre d'enfants</t>
  </si>
  <si>
    <t>FARY</t>
  </si>
  <si>
    <t>DEME</t>
  </si>
  <si>
    <t>10/101979</t>
  </si>
  <si>
    <t>RANEROU</t>
  </si>
  <si>
    <t>4567-DIAGNE/A</t>
  </si>
  <si>
    <t>MBOMBE</t>
  </si>
  <si>
    <t>DIAGNE</t>
  </si>
  <si>
    <t>31/01/1982</t>
  </si>
  <si>
    <t>PIKINE</t>
  </si>
  <si>
    <t>4568-DIALLO/A</t>
  </si>
  <si>
    <t>YACINE</t>
  </si>
  <si>
    <t>DIALLO</t>
  </si>
  <si>
    <t>17/10/1975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</si>
  <si>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</si>
  <si>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</si>
  <si>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</si>
  <si>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</si>
  <si>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</si>
  <si>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</si>
  <si>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</si>
  <si>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</si>
  <si>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</si>
  <si>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</si>
  <si>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</si>
  <si>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</si>
  <si>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</si>
  <si>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</si>
  <si>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</si>
  <si>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</si>
  <si>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</si>
  <si>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</si>
  <si>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</si>
  <si>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</si>
  <si>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DIOUREBEL</t>
  </si>
  <si>
    <t>12314-DIOP/C</t>
  </si>
  <si>
    <t>DIOP</t>
  </si>
  <si>
    <t>17/09/1985</t>
  </si>
  <si>
    <t>BAMBEY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</si>
  <si>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</si>
  <si>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</si>
  <si>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</si>
  <si>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</si>
  <si>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</si>
  <si>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</si>
  <si>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</si>
  <si>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</si>
  <si>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</si>
  <si>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</si>
  <si>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</si>
  <si>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LOMPOUL</t>
  </si>
  <si>
    <t>12318-DIOUM/A</t>
  </si>
  <si>
    <t>ASSANE</t>
  </si>
  <si>
    <t>DIOUM</t>
  </si>
  <si>
    <t>16/05/1982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</si>
  <si>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</si>
  <si>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</si>
  <si>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</si>
  <si>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</si>
  <si>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</si>
  <si>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</si>
  <si>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</si>
  <si>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</si>
  <si>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</si>
  <si>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1236-DEME/C</t>
  </si>
  <si>
    <t>12321-FAYE/B</t>
  </si>
  <si>
    <t xml:space="preserve">MOUHAMED 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</si>
  <si>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</si>
  <si>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</si>
  <si>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</si>
  <si>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</si>
  <si>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</si>
  <si>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</si>
  <si>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</si>
  <si>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</si>
  <si>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</si>
  <si>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</si>
  <si>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</si>
  <si>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</si>
  <si>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</si>
  <si>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</si>
  <si>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</si>
  <si>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</si>
  <si>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</si>
  <si>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</si>
  <si>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</si>
  <si>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</si>
  <si>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</si>
  <si>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</si>
  <si>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 xml:space="preserve">MODOU 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</si>
  <si>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</si>
  <si>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</si>
  <si>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</si>
  <si>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</si>
  <si>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</si>
  <si>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</si>
  <si>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</si>
  <si>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</si>
  <si>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</si>
  <si>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</si>
  <si>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</si>
  <si>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</si>
  <si>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 xml:space="preserve">MOUSTAPHA DIOP </t>
  </si>
  <si>
    <t>LO</t>
  </si>
  <si>
    <t>21/12/1978</t>
  </si>
  <si>
    <t>LINGUERE</t>
  </si>
  <si>
    <t>12331-LY/A</t>
  </si>
  <si>
    <t>ABDOULAYE MASSECK</t>
  </si>
  <si>
    <t>LY</t>
  </si>
  <si>
    <t>LAMBAYE</t>
  </si>
  <si>
    <t>12332-MBAYE/B</t>
  </si>
  <si>
    <t xml:space="preserve">ABDOU </t>
  </si>
  <si>
    <t>MBAYE</t>
  </si>
  <si>
    <t>KOLDA</t>
  </si>
  <si>
    <t>12333-MBENGUE/B</t>
  </si>
  <si>
    <t>KARIM</t>
  </si>
  <si>
    <t xml:space="preserve"> MBENGUE</t>
  </si>
  <si>
    <t>KAOLACK</t>
  </si>
  <si>
    <t>45634-NDIAYE/B</t>
  </si>
  <si>
    <t xml:space="preserve">FATIM 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</si>
  <si>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</si>
  <si>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</si>
  <si>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</si>
  <si>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</si>
  <si>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</si>
  <si>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</si>
  <si>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</si>
  <si>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</si>
  <si>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</si>
  <si>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</si>
  <si>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</si>
  <si>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</si>
  <si>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</si>
  <si>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</si>
  <si>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</si>
  <si>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</si>
  <si>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</si>
  <si>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</si>
  <si>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</si>
  <si>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</si>
  <si>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</si>
  <si>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</si>
  <si>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</si>
  <si>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</si>
  <si>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</si>
  <si>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</si>
  <si>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</si>
  <si>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29/08/1977</t>
  </si>
  <si>
    <t>12342-SECK/C</t>
  </si>
  <si>
    <t>MAURY</t>
  </si>
  <si>
    <t>SECK</t>
  </si>
  <si>
    <t>19/04/1977</t>
  </si>
  <si>
    <t>12343-SENE/C</t>
  </si>
  <si>
    <t>IBRAHIMA</t>
  </si>
  <si>
    <t>SENE</t>
  </si>
  <si>
    <t>18/06/1976</t>
  </si>
  <si>
    <t>MBACKE</t>
  </si>
  <si>
    <t>12344-SEYE/B</t>
  </si>
  <si>
    <t>MOUSSA</t>
  </si>
  <si>
    <t>SEYE</t>
  </si>
  <si>
    <t>45645-SOW/B</t>
  </si>
  <si>
    <t>KHADY</t>
  </si>
  <si>
    <t>SOW</t>
  </si>
  <si>
    <t>23/03/1984</t>
  </si>
  <si>
    <t>CAS CAS</t>
  </si>
  <si>
    <t>12346-SY/B</t>
  </si>
  <si>
    <t xml:space="preserve">ALPHA 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</si>
  <si>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</si>
  <si>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</si>
  <si>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</si>
  <si>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</si>
  <si>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</si>
  <si>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</si>
  <si>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</si>
  <si>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</si>
  <si>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</si>
  <si>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12349-TAVARESE/B</t>
  </si>
  <si>
    <t>PHILIPE MODOU</t>
  </si>
  <si>
    <t>TAVARESE</t>
  </si>
  <si>
    <t>23/04/1985</t>
  </si>
  <si>
    <t>12350-THIAM/B</t>
  </si>
  <si>
    <t>KHADIM</t>
  </si>
  <si>
    <t>THIAM</t>
  </si>
  <si>
    <t>21/12/1981</t>
  </si>
  <si>
    <t>revenu brut annuel</t>
  </si>
  <si>
    <t>Ecritures Comptables</t>
  </si>
  <si>
    <t>Versement d'avance ou acompte en cours de mois</t>
  </si>
  <si>
    <t>Avance et Acompte</t>
  </si>
  <si>
    <t>5..</t>
  </si>
  <si>
    <t>Trésorerie</t>
  </si>
  <si>
    <t>Comptabilisation du livre de Paie</t>
  </si>
  <si>
    <t>661 ou 662</t>
  </si>
  <si>
    <t>Rénumération directe versée</t>
  </si>
  <si>
    <t>Indemnités Forfaitaires</t>
  </si>
  <si>
    <t>Personnel, Rénumérations dues</t>
  </si>
  <si>
    <t>Retraite Obligatoire</t>
  </si>
  <si>
    <t>Retraite Facultative</t>
  </si>
  <si>
    <t>Mutuelle de Santé</t>
  </si>
  <si>
    <t>Etat, Impots retenus à la source</t>
  </si>
  <si>
    <t>Comptabilisation du règlement des salaires et oppositions</t>
  </si>
  <si>
    <t>Personnels, Rénumérations dues</t>
  </si>
  <si>
    <t>Nombre de Sexe</t>
  </si>
  <si>
    <t>Nombre de Catégorie</t>
  </si>
  <si>
    <t>Nombre de Etat_civil</t>
  </si>
  <si>
    <t>Prénom</t>
  </si>
  <si>
    <t>REPARTITION SELON L'IPRES</t>
  </si>
  <si>
    <t>Régime général</t>
  </si>
  <si>
    <t>Régime cadre</t>
  </si>
  <si>
    <t>ABATTEMENT</t>
  </si>
  <si>
    <t>RAI</t>
  </si>
  <si>
    <t>Retenues salariales</t>
  </si>
  <si>
    <t xml:space="preserve">salaire net </t>
  </si>
  <si>
    <t>net a payer</t>
  </si>
  <si>
    <t>Date de naissance</t>
  </si>
  <si>
    <t>lieu de naissance</t>
  </si>
  <si>
    <t>Nombre d'épouses</t>
  </si>
  <si>
    <t>Heure suppléméntaire 15%</t>
  </si>
  <si>
    <t>Heure suppléméntaire 40%</t>
  </si>
  <si>
    <t>Heure suppléméntaire 60%</t>
  </si>
  <si>
    <t>Heure suppléméntaire 100%</t>
  </si>
  <si>
    <t>TOTAUX</t>
  </si>
  <si>
    <t>débit</t>
  </si>
  <si>
    <t>crédit</t>
  </si>
  <si>
    <t>opposition</t>
  </si>
  <si>
    <t>240062,05</t>
  </si>
  <si>
    <t>279424,05</t>
  </si>
  <si>
    <t>veuiller appuyer sur le bouton imprimer pour pouvoir imprimer le bulletin édité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</si>
</sst>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\ _€"/>
  </numFmts>
  <fonts count="16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Arial Black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7"/>
      <name val="Arial Black"/>
      <family val="2"/>
    </font>
    <font>
      <b/>
      <i/>
      <sz val="14"/>
      <color rgb="FF000080"/>
      <name val="Calibri"/>
      <family val="2"/>
    </font>
    <font>
      <b/>
      <i/>
      <sz val="14"/>
      <color rgb="FF333399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8"/>
      <color theme="8" tint="-0.499984740745262"/>
      <name val="Bodoni MT Black"/>
      <family val="1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</cellStyleXfs>
  <cellXfs count="75">
    <xf numFmtId="0" fontId="0" fillId="0" borderId="0" xfId="0"/>
    <xf numFmtId="14" fontId="0" fillId="0" borderId="0" xfId="0" applyNumberForma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3" fillId="0" borderId="0" xfId="0" applyFont="1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/>
    </xf>
    <xf numFmtId="0" fontId="0" fillId="0" borderId="0" xfId="0" pivotButton="1"/>
    <xf numFmtId="0" fontId="0" fillId="0" borderId="0" xfId="0" applyNumberFormat="1"/>
    <xf numFmtId="0" fontId="9" fillId="0" borderId="0" xfId="0" applyFont="1"/>
    <xf numFmtId="0" fontId="0" fillId="3" borderId="0" xfId="0" applyFill="1"/>
    <xf numFmtId="0" fontId="12" fillId="5" borderId="1" xfId="0" applyFont="1" applyFill="1" applyBorder="1"/>
    <xf numFmtId="0" fontId="12" fillId="5" borderId="1" xfId="0" applyFont="1" applyFill="1" applyBorder="1" applyAlignment="1"/>
    <xf numFmtId="0" fontId="12" fillId="5" borderId="1" xfId="0" applyFont="1" applyFill="1" applyBorder="1" applyAlignment="1">
      <alignment horizontal="center"/>
    </xf>
    <xf numFmtId="14" fontId="12" fillId="5" borderId="1" xfId="0" applyNumberFormat="1" applyFont="1" applyFill="1" applyBorder="1" applyAlignment="1"/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/>
    <xf numFmtId="0" fontId="13" fillId="5" borderId="1" xfId="0" applyFont="1" applyFill="1" applyBorder="1"/>
    <xf numFmtId="0" fontId="5" fillId="0" borderId="0" xfId="0" applyFont="1"/>
    <xf numFmtId="0" fontId="7" fillId="6" borderId="0" xfId="0" applyFont="1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left" vertical="center"/>
    </xf>
    <xf numFmtId="0" fontId="0" fillId="6" borderId="0" xfId="0" applyFill="1"/>
    <xf numFmtId="0" fontId="6" fillId="6" borderId="0" xfId="0" applyFont="1" applyFill="1" applyAlignment="1">
      <alignment vertical="center"/>
    </xf>
    <xf numFmtId="0" fontId="6" fillId="6" borderId="0" xfId="0" applyFont="1" applyFill="1"/>
    <xf numFmtId="0" fontId="0" fillId="6" borderId="4" xfId="0" applyFill="1" applyBorder="1" applyAlignment="1">
      <alignment vertical="center"/>
    </xf>
    <xf numFmtId="0" fontId="0" fillId="6" borderId="5" xfId="0" applyFill="1" applyBorder="1" applyAlignment="1">
      <alignment horizontal="right" vertical="center"/>
    </xf>
    <xf numFmtId="0" fontId="0" fillId="6" borderId="5" xfId="0" applyFill="1" applyBorder="1" applyAlignment="1">
      <alignment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/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horizontal="right"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horizontal="left" vertical="center"/>
    </xf>
    <xf numFmtId="0" fontId="0" fillId="6" borderId="9" xfId="0" applyFill="1" applyBorder="1"/>
    <xf numFmtId="0" fontId="0" fillId="6" borderId="10" xfId="0" applyFill="1" applyBorder="1" applyAlignment="1">
      <alignment vertical="center"/>
    </xf>
    <xf numFmtId="0" fontId="0" fillId="6" borderId="0" xfId="0" applyFill="1" applyBorder="1" applyAlignment="1">
      <alignment horizontal="right"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horizontal="left" vertical="center"/>
    </xf>
    <xf numFmtId="0" fontId="0" fillId="6" borderId="11" xfId="0" applyFill="1" applyBorder="1"/>
    <xf numFmtId="0" fontId="2" fillId="4" borderId="0" xfId="2" applyFill="1"/>
    <xf numFmtId="0" fontId="0" fillId="4" borderId="0" xfId="0" applyFill="1"/>
    <xf numFmtId="0" fontId="14" fillId="4" borderId="0" xfId="1" applyFont="1" applyFill="1" applyAlignment="1">
      <alignment horizontal="left" vertical="top"/>
    </xf>
    <xf numFmtId="0" fontId="0" fillId="4" borderId="0" xfId="0" applyFill="1" applyAlignment="1">
      <alignment horizontal="left"/>
    </xf>
    <xf numFmtId="0" fontId="2" fillId="4" borderId="0" xfId="2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164" fontId="0" fillId="0" borderId="0" xfId="0" applyNumberFormat="1"/>
    <xf numFmtId="164" fontId="5" fillId="0" borderId="0" xfId="0" applyNumberFormat="1" applyFont="1"/>
    <xf numFmtId="164" fontId="0" fillId="0" borderId="0" xfId="0" applyNumberFormat="1" applyAlignment="1">
      <alignment horizontal="center"/>
    </xf>
    <xf numFmtId="0" fontId="15" fillId="0" borderId="0" xfId="0" applyFont="1" applyAlignment="1"/>
    <xf numFmtId="0" fontId="12" fillId="5" borderId="1" xfId="0" applyFont="1" applyFill="1" applyBorder="1" applyAlignment="1">
      <alignment horizontal="left"/>
    </xf>
    <xf numFmtId="0" fontId="12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3" fontId="12" fillId="5" borderId="1" xfId="0" applyNumberFormat="1" applyFont="1" applyFill="1" applyBorder="1" applyAlignment="1">
      <alignment horizontal="left"/>
    </xf>
    <xf numFmtId="0" fontId="12" fillId="5" borderId="1" xfId="0" applyNumberFormat="1" applyFont="1" applyFill="1" applyBorder="1" applyAlignment="1">
      <alignment horizontal="left"/>
    </xf>
    <xf numFmtId="0" fontId="12" fillId="5" borderId="1" xfId="0" applyNumberFormat="1" applyFont="1" applyFill="1" applyBorder="1" applyAlignment="1">
      <alignment horizontal="left" vertical="center"/>
    </xf>
    <xf numFmtId="0" fontId="12" fillId="5" borderId="1" xfId="0" applyFont="1" applyFill="1" applyBorder="1" applyAlignment="1">
      <alignment horizontal="left" vertical="center"/>
    </xf>
    <xf numFmtId="3" fontId="13" fillId="5" borderId="1" xfId="0" applyNumberFormat="1" applyFont="1" applyFill="1" applyBorder="1" applyAlignment="1">
      <alignment horizontal="left"/>
    </xf>
    <xf numFmtId="0" fontId="13" fillId="5" borderId="1" xfId="0" applyFont="1" applyFill="1" applyBorder="1" applyAlignment="1">
      <alignment horizontal="left"/>
    </xf>
    <xf numFmtId="3" fontId="13" fillId="5" borderId="1" xfId="0" applyNumberFormat="1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2" fillId="5" borderId="2" xfId="0" applyFont="1" applyFill="1" applyBorder="1" applyAlignment="1">
      <alignment horizontal="center"/>
    </xf>
    <xf numFmtId="0" fontId="12" fillId="5" borderId="3" xfId="0" applyFont="1" applyFill="1" applyBorder="1" applyAlignment="1">
      <alignment horizontal="center"/>
    </xf>
    <xf numFmtId="0" fontId="12" fillId="5" borderId="4" xfId="0" applyFont="1" applyFill="1" applyBorder="1" applyAlignment="1">
      <alignment horizontal="center"/>
    </xf>
    <xf numFmtId="0" fontId="12" fillId="5" borderId="5" xfId="0" applyFont="1" applyFill="1" applyBorder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</cellXfs>
  <cellStyles count="3">
    <cellStyle name="60 % - Accent6" xfId="2" builtinId="52"/>
    <cellStyle name="Normal" xfId="0" builtinId="0"/>
    <cellStyle name="Titre" xfId="1" builtinId="15"/>
  </cellStyles>
  <dxfs count="60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numFmt numFmtId="164" formatCode="#,##0\ _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fr-FR" sz="1600" b="1">
                <a:latin typeface="Times New Roman" panose="02020603050405020304" pitchFamily="18" charset="0"/>
                <a:cs typeface="Times New Roman" panose="02020603050405020304" pitchFamily="18" charset="0"/>
              </a:rPr>
              <a:t>Répartition</a:t>
            </a:r>
            <a:r>
              <a:rPr lang="fr-FR" sz="16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selon le</a:t>
            </a:r>
            <a:r>
              <a:rPr lang="fr-FR" sz="1600" b="1">
                <a:latin typeface="Times New Roman" panose="02020603050405020304" pitchFamily="18" charset="0"/>
                <a:cs typeface="Times New Roman" panose="02020603050405020304" pitchFamily="18" charset="0"/>
              </a:rPr>
              <a:t>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title>
    <c:autoTitleDeleted val="0"/>
    <c:pivotFmts>
      <c:pivotFmt>
        <c:idx val="0"/>
        <c:spPr>
          <a:gradFill>
            <a:gsLst>
              <a:gs pos="0">
                <a:schemeClr val="accent5"/>
              </a:gs>
              <a:gs pos="100000">
                <a:schemeClr val="accent5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5"/>
                </a:gs>
                <a:gs pos="100000">
                  <a:schemeClr val="accent5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5"/>
              </a:gs>
              <a:gs pos="100000">
                <a:schemeClr val="accent5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5"/>
              </a:gs>
              <a:gs pos="100000">
                <a:schemeClr val="accent5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>
              <a:gsLst>
                <a:gs pos="0">
                  <a:schemeClr val="accent5"/>
                </a:gs>
                <a:gs pos="100000">
                  <a:schemeClr val="accent5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F</c:v>
              </c:pt>
              <c:pt idx="1">
                <c:v>M</c:v>
              </c:pt>
            </c:strLit>
          </c:cat>
          <c:val>
            <c:numLit>
              <c:formatCode>General</c:formatCode>
              <c:ptCount val="2"/>
              <c:pt idx="0">
                <c:v>12</c:v>
              </c:pt>
              <c:pt idx="1">
                <c:v>38</c:v>
              </c:pt>
            </c:numLit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67795800"/>
        <c:axId val="336971848"/>
      </c:barChart>
      <c:catAx>
        <c:axId val="267795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6971848"/>
        <c:crosses val="autoZero"/>
        <c:auto val="1"/>
        <c:lblAlgn val="ctr"/>
        <c:lblOffset val="100"/>
        <c:noMultiLvlLbl val="0"/>
      </c:catAx>
      <c:valAx>
        <c:axId val="336971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779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[VBA_Excel_Projet_Final.xlsm]Tableau de bord!Tableau croisé dynamique13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/>
              <a:t>Répartition</a:t>
            </a:r>
            <a:r>
              <a:rPr lang="fr-FR" sz="1400" baseline="0"/>
              <a:t> selon la </a:t>
            </a:r>
            <a:r>
              <a:rPr lang="fr-FR" sz="1400"/>
              <a:t> Catégorie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'Tableau de bord'!$L$5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'Tableau de bord'!$K$6:$K$8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'Tableau de bord'!$L$6:$L$8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[VBA_Excel_Projet_Final.xlsm]Tableau de bord!Tableau croisé dynamique18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répartition</a:t>
            </a:r>
            <a:r>
              <a:rPr lang="fr-FR" sz="1200" baseline="0"/>
              <a:t> selon l'</a:t>
            </a:r>
            <a:r>
              <a:rPr lang="fr-FR" sz="1200"/>
              <a:t>Etat</a:t>
            </a:r>
            <a:r>
              <a:rPr lang="fr-FR" sz="1200" baseline="0"/>
              <a:t> </a:t>
            </a:r>
            <a:r>
              <a:rPr lang="fr-FR" sz="1200"/>
              <a:t>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dk1">
              <a:tint val="88500"/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0"/>
    </c:view3D>
    <c:floor>
      <c:thickness val="0"/>
      <c:spPr>
        <a:solidFill>
          <a:schemeClr val="dk1">
            <a:tint val="88500"/>
            <a:alpha val="3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'Tableau de bord'!$Q$5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  <a:lumMod val="20000"/>
                <a:lumOff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'Tableau de bord'!$P$6:$P$7</c:f>
              <c:strCache>
                <c:ptCount val="2"/>
                <c:pt idx="0">
                  <c:v>Célibataire</c:v>
                </c:pt>
                <c:pt idx="1">
                  <c:v>Marié</c:v>
                </c:pt>
              </c:strCache>
            </c:strRef>
          </c:cat>
          <c:val>
            <c:numRef>
              <c:f>'Tableau de bord'!$Q$6:$Q$7</c:f>
              <c:numCache>
                <c:formatCode>General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4"/>
        <c:gapDepth val="0"/>
        <c:shape val="box"/>
        <c:axId val="269933224"/>
        <c:axId val="32893000"/>
        <c:axId val="0"/>
      </c:bar3DChart>
      <c:catAx>
        <c:axId val="26993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893000"/>
        <c:crosses val="autoZero"/>
        <c:auto val="1"/>
        <c:lblAlgn val="ctr"/>
        <c:lblOffset val="100"/>
        <c:noMultiLvlLbl val="0"/>
      </c:catAx>
      <c:valAx>
        <c:axId val="32893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993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selon l'IPRES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'Tableau de bord'!$T$6:$T$7</c:f>
              <c:strCache>
                <c:ptCount val="2"/>
                <c:pt idx="0">
                  <c:v>Régime général</c:v>
                </c:pt>
                <c:pt idx="1">
                  <c:v>Régime cadre</c:v>
                </c:pt>
              </c:strCache>
            </c:strRef>
          </c:cat>
          <c:val>
            <c:numRef>
              <c:f>'Tableau de bord'!$U$6:$U$7</c:f>
              <c:numCache>
                <c:formatCode>General</c:formatCode>
                <c:ptCount val="2"/>
                <c:pt idx="0">
                  <c:v>31</c:v>
                </c:pt>
                <c:pt idx="1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3</xdr:row>
      <xdr:rowOff>286224</xdr:rowOff>
    </xdr:from>
    <xdr:to>
      <xdr:col>25</xdr:col>
      <xdr:colOff>28454</xdr:colOff>
      <xdr:row>25</xdr:row>
      <xdr:rowOff>171450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857724"/>
          <a:ext cx="14373104" cy="41810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6</xdr:row>
          <xdr:rowOff>9525</xdr:rowOff>
        </xdr:from>
        <xdr:to>
          <xdr:col>7</xdr:col>
          <xdr:colOff>361950</xdr:colOff>
          <xdr:row>11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Panneau de saisie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6</xdr:row>
          <xdr:rowOff>76200</xdr:rowOff>
        </xdr:from>
        <xdr:to>
          <xdr:col>19</xdr:col>
          <xdr:colOff>409575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Tableau de bord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13</xdr:row>
          <xdr:rowOff>142875</xdr:rowOff>
        </xdr:from>
        <xdr:to>
          <xdr:col>10</xdr:col>
          <xdr:colOff>276225</xdr:colOff>
          <xdr:row>19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Livre de Paie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13</xdr:row>
          <xdr:rowOff>114300</xdr:rowOff>
        </xdr:from>
        <xdr:to>
          <xdr:col>16</xdr:col>
          <xdr:colOff>66675</xdr:colOff>
          <xdr:row>19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Ecritures comptables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85725</xdr:rowOff>
        </xdr:from>
        <xdr:to>
          <xdr:col>13</xdr:col>
          <xdr:colOff>571500</xdr:colOff>
          <xdr:row>11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Editer le bulletin de salaire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66675</xdr:rowOff>
        </xdr:from>
        <xdr:to>
          <xdr:col>8</xdr:col>
          <xdr:colOff>428625</xdr:colOff>
          <xdr:row>7</xdr:row>
          <xdr:rowOff>123825</xdr:rowOff>
        </xdr:to>
        <xdr:sp macro="" textlink="">
          <xdr:nvSpPr>
            <xdr:cNvPr id="2049" name="Button 1" descr="IMPRIMER 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752476</xdr:colOff>
      <xdr:row>9</xdr:row>
      <xdr:rowOff>123825</xdr:rowOff>
    </xdr:from>
    <xdr:to>
      <xdr:col>8</xdr:col>
      <xdr:colOff>304801</xdr:colOff>
      <xdr:row>20</xdr:row>
      <xdr:rowOff>123825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752475</xdr:colOff>
      <xdr:row>10</xdr:row>
      <xdr:rowOff>38100</xdr:rowOff>
    </xdr:from>
    <xdr:to>
      <xdr:col>13</xdr:col>
      <xdr:colOff>104775</xdr:colOff>
      <xdr:row>20</xdr:row>
      <xdr:rowOff>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19050</xdr:colOff>
      <xdr:row>9</xdr:row>
      <xdr:rowOff>190500</xdr:rowOff>
    </xdr:from>
    <xdr:to>
      <xdr:col>18</xdr:col>
      <xdr:colOff>200025</xdr:colOff>
      <xdr:row>19</xdr:row>
      <xdr:rowOff>180975</xdr:rowOff>
    </xdr:to>
    <xdr:graphicFrame macro="">
      <xdr:nvGraphicFramePr>
        <xdr:cNvPr id="4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104775</xdr:colOff>
      <xdr:row>8</xdr:row>
      <xdr:rowOff>90487</xdr:rowOff>
    </xdr:from>
    <xdr:to>
      <xdr:col>24</xdr:col>
      <xdr:colOff>504825</xdr:colOff>
      <xdr:row>22</xdr:row>
      <xdr:rowOff>33337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4013.499953009261" createdVersion="5" refreshedVersion="5" minRefreshableVersion="3" recordCount="50">
  <cacheSource type="worksheet">
    <worksheetSource ref="B1:D51" sheet="Tableau de bord"/>
  </cacheSource>
  <cacheFields count="3">
    <cacheField name="Sexe" numFmtId="0">
      <sharedItems count="2">
        <s v="M"/>
        <s v="F"/>
      </sharedItems>
    </cacheField>
    <cacheField name="Catégorie" numFmtId="0">
      <sharedItems/>
    </cacheField>
    <cacheField name="Etat_civi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eur" refreshedDate="44013.505256018521" createdVersion="5" refreshedVersion="5" minRefreshableVersion="3" recordCount="50">
  <cacheSource type="worksheet">
    <worksheetSource ref="B1:D51" sheet="Tableau de bord"/>
  </cacheSource>
  <cacheFields count="3">
    <cacheField name="Sexe" numFmtId="0">
      <sharedItems/>
    </cacheField>
    <cacheField name="Catégorie" numFmtId="0">
      <sharedItems count="3">
        <s v="B"/>
        <s v="C"/>
        <s v="A"/>
      </sharedItems>
    </cacheField>
    <cacheField name="Etat_civi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eur" refreshedDate="44013.513849305557" createdVersion="5" refreshedVersion="5" minRefreshableVersion="3" recordCount="50">
  <cacheSource type="worksheet">
    <worksheetSource ref="B1:D51" sheet="Tableau de bord"/>
  </cacheSource>
  <cacheFields count="3">
    <cacheField name="Sexe" numFmtId="0">
      <sharedItems/>
    </cacheField>
    <cacheField name="Catégorie" numFmtId="0">
      <sharedItems/>
    </cacheField>
    <cacheField name="Etat_civil" numFmtId="0">
      <sharedItems count="2">
        <s v="Marié"/>
        <s v="Célibatair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s v="B"/>
    <s v="Marié"/>
  </r>
  <r>
    <x v="0"/>
    <s v="B"/>
    <s v="Célibataire"/>
  </r>
  <r>
    <x v="0"/>
    <s v="B"/>
    <s v="Marié"/>
  </r>
  <r>
    <x v="0"/>
    <s v="C"/>
    <s v="Marié"/>
  </r>
  <r>
    <x v="0"/>
    <s v="C"/>
    <s v="Célibataire"/>
  </r>
  <r>
    <x v="0"/>
    <s v="C"/>
    <s v="Célibataire"/>
  </r>
  <r>
    <x v="1"/>
    <s v="A"/>
    <s v="Marié"/>
  </r>
  <r>
    <x v="1"/>
    <s v="A"/>
    <s v="Célibataire"/>
  </r>
  <r>
    <x v="0"/>
    <s v="A"/>
    <s v="Marié"/>
  </r>
  <r>
    <x v="0"/>
    <s v="A"/>
    <s v="Célibataire"/>
  </r>
  <r>
    <x v="1"/>
    <s v="B"/>
    <s v="Célibataire"/>
  </r>
  <r>
    <x v="0"/>
    <s v="B"/>
    <s v="Célibataire"/>
  </r>
  <r>
    <x v="1"/>
    <s v="B"/>
    <s v="Célibataire"/>
  </r>
  <r>
    <x v="0"/>
    <s v="C"/>
    <s v="Célibataire"/>
  </r>
  <r>
    <x v="0"/>
    <s v="C"/>
    <s v="Célibataire"/>
  </r>
  <r>
    <x v="0"/>
    <s v="C"/>
    <s v="Marié"/>
  </r>
  <r>
    <x v="0"/>
    <s v="C"/>
    <s v="Marié"/>
  </r>
  <r>
    <x v="0"/>
    <s v="A"/>
    <s v="Marié"/>
  </r>
  <r>
    <x v="0"/>
    <s v="C"/>
    <s v="Marié"/>
  </r>
  <r>
    <x v="0"/>
    <s v="B"/>
    <s v="Marié"/>
  </r>
  <r>
    <x v="0"/>
    <s v="B"/>
    <s v="Marié"/>
  </r>
  <r>
    <x v="1"/>
    <s v="B"/>
    <s v="Marié"/>
  </r>
  <r>
    <x v="0"/>
    <s v="C"/>
    <s v="Marié"/>
  </r>
  <r>
    <x v="0"/>
    <s v="C"/>
    <s v="Marié"/>
  </r>
  <r>
    <x v="1"/>
    <s v="C"/>
    <s v="Célibataire"/>
  </r>
  <r>
    <x v="0"/>
    <s v="C"/>
    <s v="Célibataire"/>
  </r>
  <r>
    <x v="0"/>
    <s v="A"/>
    <s v="Célibataire"/>
  </r>
  <r>
    <x v="0"/>
    <s v="B"/>
    <s v="Célibataire"/>
  </r>
  <r>
    <x v="1"/>
    <s v="A"/>
    <s v="Marié"/>
  </r>
  <r>
    <x v="0"/>
    <s v="A"/>
    <s v="Marié"/>
  </r>
  <r>
    <x v="0"/>
    <s v="A"/>
    <s v="Marié"/>
  </r>
  <r>
    <x v="0"/>
    <s v="B"/>
    <s v="Marié"/>
  </r>
  <r>
    <x v="0"/>
    <s v="B"/>
    <s v="Marié"/>
  </r>
  <r>
    <x v="1"/>
    <s v="B"/>
    <s v="Marié"/>
  </r>
  <r>
    <x v="0"/>
    <s v="B"/>
    <s v="Marié"/>
  </r>
  <r>
    <x v="0"/>
    <s v="B"/>
    <s v="Marié"/>
  </r>
  <r>
    <x v="0"/>
    <s v="C"/>
    <s v="Célibataire"/>
  </r>
  <r>
    <x v="0"/>
    <s v="A"/>
    <s v="Célibataire"/>
  </r>
  <r>
    <x v="1"/>
    <s v="C"/>
    <s v="Célibataire"/>
  </r>
  <r>
    <x v="1"/>
    <s v="C"/>
    <s v="Célibataire"/>
  </r>
  <r>
    <x v="0"/>
    <s v="A"/>
    <s v="Célibataire"/>
  </r>
  <r>
    <x v="0"/>
    <s v="C"/>
    <s v="Marié"/>
  </r>
  <r>
    <x v="0"/>
    <s v="C"/>
    <s v="Marié"/>
  </r>
  <r>
    <x v="0"/>
    <s v="B"/>
    <s v="Marié"/>
  </r>
  <r>
    <x v="1"/>
    <s v="B"/>
    <s v="Marié"/>
  </r>
  <r>
    <x v="0"/>
    <s v="B"/>
    <s v="Marié"/>
  </r>
  <r>
    <x v="0"/>
    <s v="B"/>
    <s v="Marié"/>
  </r>
  <r>
    <x v="1"/>
    <s v="B"/>
    <s v="Marié"/>
  </r>
  <r>
    <x v="0"/>
    <s v="B"/>
    <s v="Marié"/>
  </r>
  <r>
    <x v="0"/>
    <s v="B"/>
    <s v="Célibatair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">
  <r>
    <s v="M"/>
    <x v="0"/>
    <s v="Marié"/>
  </r>
  <r>
    <s v="M"/>
    <x v="0"/>
    <s v="Célibataire"/>
  </r>
  <r>
    <s v="M"/>
    <x v="0"/>
    <s v="Marié"/>
  </r>
  <r>
    <s v="M"/>
    <x v="1"/>
    <s v="Marié"/>
  </r>
  <r>
    <s v="M"/>
    <x v="1"/>
    <s v="Célibataire"/>
  </r>
  <r>
    <s v="M"/>
    <x v="1"/>
    <s v="Célibataire"/>
  </r>
  <r>
    <s v="F"/>
    <x v="2"/>
    <s v="Marié"/>
  </r>
  <r>
    <s v="F"/>
    <x v="2"/>
    <s v="Célibataire"/>
  </r>
  <r>
    <s v="M"/>
    <x v="2"/>
    <s v="Marié"/>
  </r>
  <r>
    <s v="M"/>
    <x v="2"/>
    <s v="Célibataire"/>
  </r>
  <r>
    <s v="F"/>
    <x v="0"/>
    <s v="Célibataire"/>
  </r>
  <r>
    <s v="M"/>
    <x v="0"/>
    <s v="Célibataire"/>
  </r>
  <r>
    <s v="F"/>
    <x v="0"/>
    <s v="Célibataire"/>
  </r>
  <r>
    <s v="M"/>
    <x v="1"/>
    <s v="Célibataire"/>
  </r>
  <r>
    <s v="M"/>
    <x v="1"/>
    <s v="Célibataire"/>
  </r>
  <r>
    <s v="M"/>
    <x v="1"/>
    <s v="Marié"/>
  </r>
  <r>
    <s v="M"/>
    <x v="1"/>
    <s v="Marié"/>
  </r>
  <r>
    <s v="M"/>
    <x v="2"/>
    <s v="Marié"/>
  </r>
  <r>
    <s v="M"/>
    <x v="1"/>
    <s v="Marié"/>
  </r>
  <r>
    <s v="M"/>
    <x v="0"/>
    <s v="Marié"/>
  </r>
  <r>
    <s v="M"/>
    <x v="0"/>
    <s v="Marié"/>
  </r>
  <r>
    <s v="F"/>
    <x v="0"/>
    <s v="Marié"/>
  </r>
  <r>
    <s v="M"/>
    <x v="1"/>
    <s v="Marié"/>
  </r>
  <r>
    <s v="M"/>
    <x v="1"/>
    <s v="Marié"/>
  </r>
  <r>
    <s v="F"/>
    <x v="1"/>
    <s v="Célibataire"/>
  </r>
  <r>
    <s v="M"/>
    <x v="1"/>
    <s v="Célibataire"/>
  </r>
  <r>
    <s v="M"/>
    <x v="2"/>
    <s v="Célibataire"/>
  </r>
  <r>
    <s v="M"/>
    <x v="0"/>
    <s v="Célibataire"/>
  </r>
  <r>
    <s v="F"/>
    <x v="2"/>
    <s v="Marié"/>
  </r>
  <r>
    <s v="M"/>
    <x v="2"/>
    <s v="Marié"/>
  </r>
  <r>
    <s v="M"/>
    <x v="2"/>
    <s v="Marié"/>
  </r>
  <r>
    <s v="M"/>
    <x v="0"/>
    <s v="Marié"/>
  </r>
  <r>
    <s v="M"/>
    <x v="0"/>
    <s v="Marié"/>
  </r>
  <r>
    <s v="F"/>
    <x v="0"/>
    <s v="Marié"/>
  </r>
  <r>
    <s v="M"/>
    <x v="0"/>
    <s v="Marié"/>
  </r>
  <r>
    <s v="M"/>
    <x v="0"/>
    <s v="Marié"/>
  </r>
  <r>
    <s v="M"/>
    <x v="1"/>
    <s v="Célibataire"/>
  </r>
  <r>
    <s v="M"/>
    <x v="2"/>
    <s v="Célibataire"/>
  </r>
  <r>
    <s v="F"/>
    <x v="1"/>
    <s v="Célibataire"/>
  </r>
  <r>
    <s v="F"/>
    <x v="1"/>
    <s v="Célibataire"/>
  </r>
  <r>
    <s v="M"/>
    <x v="2"/>
    <s v="Célibataire"/>
  </r>
  <r>
    <s v="M"/>
    <x v="1"/>
    <s v="Marié"/>
  </r>
  <r>
    <s v="M"/>
    <x v="1"/>
    <s v="Marié"/>
  </r>
  <r>
    <s v="M"/>
    <x v="0"/>
    <s v="Marié"/>
  </r>
  <r>
    <s v="F"/>
    <x v="0"/>
    <s v="Marié"/>
  </r>
  <r>
    <s v="M"/>
    <x v="0"/>
    <s v="Marié"/>
  </r>
  <r>
    <s v="M"/>
    <x v="0"/>
    <s v="Marié"/>
  </r>
  <r>
    <s v="F"/>
    <x v="0"/>
    <s v="Marié"/>
  </r>
  <r>
    <s v="M"/>
    <x v="0"/>
    <s v="Marié"/>
  </r>
  <r>
    <s v="M"/>
    <x v="0"/>
    <s v="Célibataire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">
  <r>
    <s v="M"/>
    <s v="B"/>
    <x v="0"/>
  </r>
  <r>
    <s v="M"/>
    <s v="B"/>
    <x v="1"/>
  </r>
  <r>
    <s v="M"/>
    <s v="B"/>
    <x v="0"/>
  </r>
  <r>
    <s v="M"/>
    <s v="C"/>
    <x v="0"/>
  </r>
  <r>
    <s v="M"/>
    <s v="C"/>
    <x v="1"/>
  </r>
  <r>
    <s v="M"/>
    <s v="C"/>
    <x v="1"/>
  </r>
  <r>
    <s v="F"/>
    <s v="A"/>
    <x v="0"/>
  </r>
  <r>
    <s v="F"/>
    <s v="A"/>
    <x v="1"/>
  </r>
  <r>
    <s v="M"/>
    <s v="A"/>
    <x v="0"/>
  </r>
  <r>
    <s v="M"/>
    <s v="A"/>
    <x v="1"/>
  </r>
  <r>
    <s v="F"/>
    <s v="B"/>
    <x v="1"/>
  </r>
  <r>
    <s v="M"/>
    <s v="B"/>
    <x v="1"/>
  </r>
  <r>
    <s v="F"/>
    <s v="B"/>
    <x v="1"/>
  </r>
  <r>
    <s v="M"/>
    <s v="C"/>
    <x v="1"/>
  </r>
  <r>
    <s v="M"/>
    <s v="C"/>
    <x v="1"/>
  </r>
  <r>
    <s v="M"/>
    <s v="C"/>
    <x v="0"/>
  </r>
  <r>
    <s v="M"/>
    <s v="C"/>
    <x v="0"/>
  </r>
  <r>
    <s v="M"/>
    <s v="A"/>
    <x v="0"/>
  </r>
  <r>
    <s v="M"/>
    <s v="C"/>
    <x v="0"/>
  </r>
  <r>
    <s v="M"/>
    <s v="B"/>
    <x v="0"/>
  </r>
  <r>
    <s v="M"/>
    <s v="B"/>
    <x v="0"/>
  </r>
  <r>
    <s v="F"/>
    <s v="B"/>
    <x v="0"/>
  </r>
  <r>
    <s v="M"/>
    <s v="C"/>
    <x v="0"/>
  </r>
  <r>
    <s v="M"/>
    <s v="C"/>
    <x v="0"/>
  </r>
  <r>
    <s v="F"/>
    <s v="C"/>
    <x v="1"/>
  </r>
  <r>
    <s v="M"/>
    <s v="C"/>
    <x v="1"/>
  </r>
  <r>
    <s v="M"/>
    <s v="A"/>
    <x v="1"/>
  </r>
  <r>
    <s v="M"/>
    <s v="B"/>
    <x v="1"/>
  </r>
  <r>
    <s v="F"/>
    <s v="A"/>
    <x v="0"/>
  </r>
  <r>
    <s v="M"/>
    <s v="A"/>
    <x v="0"/>
  </r>
  <r>
    <s v="M"/>
    <s v="A"/>
    <x v="0"/>
  </r>
  <r>
    <s v="M"/>
    <s v="B"/>
    <x v="0"/>
  </r>
  <r>
    <s v="M"/>
    <s v="B"/>
    <x v="0"/>
  </r>
  <r>
    <s v="F"/>
    <s v="B"/>
    <x v="0"/>
  </r>
  <r>
    <s v="M"/>
    <s v="B"/>
    <x v="0"/>
  </r>
  <r>
    <s v="M"/>
    <s v="B"/>
    <x v="0"/>
  </r>
  <r>
    <s v="M"/>
    <s v="C"/>
    <x v="1"/>
  </r>
  <r>
    <s v="M"/>
    <s v="A"/>
    <x v="1"/>
  </r>
  <r>
    <s v="F"/>
    <s v="C"/>
    <x v="1"/>
  </r>
  <r>
    <s v="F"/>
    <s v="C"/>
    <x v="1"/>
  </r>
  <r>
    <s v="M"/>
    <s v="A"/>
    <x v="1"/>
  </r>
  <r>
    <s v="M"/>
    <s v="C"/>
    <x v="0"/>
  </r>
  <r>
    <s v="M"/>
    <s v="C"/>
    <x v="0"/>
  </r>
  <r>
    <s v="M"/>
    <s v="B"/>
    <x v="0"/>
  </r>
  <r>
    <s v="F"/>
    <s v="B"/>
    <x v="0"/>
  </r>
  <r>
    <s v="M"/>
    <s v="B"/>
    <x v="0"/>
  </r>
  <r>
    <s v="M"/>
    <s v="B"/>
    <x v="0"/>
  </r>
  <r>
    <s v="F"/>
    <s v="B"/>
    <x v="0"/>
  </r>
  <r>
    <s v="M"/>
    <s v="B"/>
    <x v="0"/>
  </r>
  <r>
    <s v="M"/>
    <s v="B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8" cacheId="2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18">
  <location ref="P5:Q7" firstHeaderRow="1" firstDataRow="1" firstDataCol="1"/>
  <pivotFields count="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">
    <i>
      <x/>
    </i>
    <i>
      <x v="1"/>
    </i>
  </rowItems>
  <colItems count="1">
    <i/>
  </colItems>
  <dataFields count="1">
    <dataField name="Nombre de Etat_civil" fld="2" subtotal="count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Tableau croisé dynamique13" cacheId="1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17">
  <location ref="K5:L8" firstHeaderRow="1" firstDataRow="1" firstDataCol="1"/>
  <pivotFields count="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Nombre de Catégorie" fld="1" subtotal="count" baseField="1" baseItem="0"/>
  </dataFields>
  <chartFormats count="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Tableau croisé dynamique7" cacheId="0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9">
  <location ref="G5:H7" firstHeaderRow="1" firstDataRow="1" firstDataCol="1"/>
  <pivotFields count="3">
    <pivotField axis="axisRow" dataField="1" compact="0" outline="0" showAll="0" defaultSubtotal="0">
      <items count="2">
        <item n="F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>
      <x v="1"/>
    </i>
  </rowItems>
  <colItems count="1">
    <i/>
  </colItems>
  <dataFields count="1">
    <dataField name="Nombre de Sexe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4" name="Tableau4" displayName="Tableau4" ref="A1:V55" totalsRowCount="1">
  <autoFilter ref="A1:V54"/>
  <tableColumns count="22">
    <tableColumn id="1" name="N°"/>
    <tableColumn id="2" name="Matricule"/>
    <tableColumn id="3" name="Prenom"/>
    <tableColumn id="4" name="Nom"/>
    <tableColumn id="5" name="date_naissance"/>
    <tableColumn id="6" name="Lieu_naissance"/>
    <tableColumn id="7" name="Sexe" dataDxfId="55" totalsRowDxfId="54"/>
    <tableColumn id="9" name="Catégorie" dataDxfId="53" totalsRowDxfId="52"/>
    <tableColumn id="10" name="Etat_civil"/>
    <tableColumn id="11" name="Nbre_epouse" dataDxfId="51" totalsRowDxfId="50"/>
    <tableColumn id="12" name="Nbre_enfants" dataDxfId="49" totalsRowDxfId="48"/>
    <tableColumn id="13" name="sursalaire" dataDxfId="47" totalsRowDxfId="46"/>
    <tableColumn id="14" name="H_supp_15" dataDxfId="45" totalsRowDxfId="44"/>
    <tableColumn id="15" name="H_supp_40" dataDxfId="43" totalsRowDxfId="42"/>
    <tableColumn id="16" name="H_supp_60" dataDxfId="41" totalsRowDxfId="40"/>
    <tableColumn id="17" name="H_supp_100" dataDxfId="39" totalsRowDxfId="38"/>
    <tableColumn id="18" name="Prime" dataDxfId="37" totalsRowDxfId="36"/>
    <tableColumn id="19" name="Avantages" dataDxfId="35" totalsRowDxfId="34"/>
    <tableColumn id="20" name="Indemnité" dataDxfId="33" totalsRowDxfId="32"/>
    <tableColumn id="21" name="IPM" dataDxfId="31" totalsRowDxfId="30"/>
    <tableColumn id="22" name="Avance_Accompte" dataDxfId="29" totalsRowDxfId="28"/>
    <tableColumn id="23" name="Opposition" dataDxfId="27" totalsRowDxfId="26"/>
  </tableColumns>
  <tableStyleInfo name="TableStyleLight10" showFirstColumn="0" showLastColumn="0" showRowStripes="0" showColumnStripes="0"/>
</table>
</file>

<file path=xl/tables/table2.xml><?xml version="1.0" encoding="utf-8"?>
<table xmlns="http://schemas.openxmlformats.org/spreadsheetml/2006/main" id="2" name="Tableau2" displayName="Tableau2" ref="X1:AA51" totalsRowShown="0">
  <autoFilter ref="X1:AA51"/>
  <tableColumns count="4">
    <tableColumn id="1" name="Hsup15">
      <calculatedColumnFormula>Heure_Supp15(Tableau4[[#This Row],[Catégorie]],Tableau4[[#This Row],[H_supp_15]])</calculatedColumnFormula>
    </tableColumn>
    <tableColumn id="2" name="Hsup40">
      <calculatedColumnFormula>Heure_Supp40(Tableau4[[#This Row],[Catégorie]],Tableau4[[#This Row],[H_supp_40]])</calculatedColumnFormula>
    </tableColumn>
    <tableColumn id="3" name="Hsup60">
      <calculatedColumnFormula>Heure_Supp60(Tableau4[[#This Row],[Catégorie]],Tableau4[[#This Row],[H_supp_60]])</calculatedColumnFormula>
    </tableColumn>
    <tableColumn id="4" name="Hsup100">
      <calculatedColumnFormula>Heure_Supp100(Tableau4[[#This Row],[Catégorie]],Tableau4[[#This Row],[H_supp_100]])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1:T53" totalsRowShown="0">
  <autoFilter ref="A1:T53"/>
  <tableColumns count="20">
    <tableColumn id="1" name="Matricule" dataDxfId="25"/>
    <tableColumn id="2" name="Prénom" dataDxfId="24"/>
    <tableColumn id="3" name="Nom" dataDxfId="23"/>
    <tableColumn id="4" name="SALAIRE_BASE" dataDxfId="22"/>
    <tableColumn id="5" name="salaire brut social" dataDxfId="21"/>
    <tableColumn id="6" name="salaire brut fiscal" dataDxfId="20"/>
    <tableColumn id="7" name="regime general" dataDxfId="19"/>
    <tableColumn id="8" name="regime cadre" dataDxfId="18"/>
    <tableColumn id="21" name="IPM" dataDxfId="17"/>
    <tableColumn id="9" name="revenu brut annuel" dataDxfId="16"/>
    <tableColumn id="10" name="ABATTEMENT" dataDxfId="15"/>
    <tableColumn id="18" name="Avance_Accompte" dataDxfId="14"/>
    <tableColumn id="17" name="Opposition" dataDxfId="13"/>
    <tableColumn id="11" name="RAI" dataDxfId="12"/>
    <tableColumn id="12" name="TRIMF" dataDxfId="11"/>
    <tableColumn id="13" name="IR" dataDxfId="10"/>
    <tableColumn id="14" name="Retenues salariales" dataDxfId="9"/>
    <tableColumn id="15" name="salaire net " dataDxfId="8"/>
    <tableColumn id="19" name="Indemnité" dataDxfId="7"/>
    <tableColumn id="16" name="net a payer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Tableau1" displayName="Tableau1" ref="B1:D51" totalsRowShown="0">
  <autoFilter ref="B1:D51"/>
  <tableColumns count="3">
    <tableColumn id="1" name="Sexe" dataDxfId="1"/>
    <tableColumn id="2" name="Catégorie" dataDxfId="0"/>
    <tableColumn id="3" name="Etat_civil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4"/>
  </sheetPr>
  <dimension ref="C3:S28"/>
  <sheetViews>
    <sheetView showGridLines="0" tabSelected="1" workbookViewId="0">
      <selection activeCell="E4" sqref="E4"/>
    </sheetView>
  </sheetViews>
  <sheetFormatPr baseColWidth="10" defaultColWidth="9.140625" defaultRowHeight="15" x14ac:dyDescent="0.25"/>
  <cols>
    <col min="1" max="4" width="9.140625" style="45"/>
    <col min="5" max="5" width="6.85546875" style="45" customWidth="1"/>
    <col min="6" max="6" width="9.140625" style="45" hidden="1" customWidth="1"/>
    <col min="7" max="16384" width="9.140625" style="45"/>
  </cols>
  <sheetData>
    <row r="3" spans="3:19" x14ac:dyDescent="0.25"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</row>
    <row r="4" spans="3:19" ht="23.25" x14ac:dyDescent="0.25">
      <c r="C4" s="44"/>
      <c r="D4" s="44"/>
      <c r="E4" s="44"/>
      <c r="F4" s="44"/>
      <c r="G4" s="46" t="s">
        <v>31</v>
      </c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</row>
    <row r="5" spans="3:19" x14ac:dyDescent="0.25"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</row>
    <row r="6" spans="3:19" x14ac:dyDescent="0.25"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3:19" x14ac:dyDescent="0.25"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</row>
    <row r="8" spans="3:19" x14ac:dyDescent="0.25"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</row>
    <row r="9" spans="3:19" x14ac:dyDescent="0.25"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</row>
    <row r="10" spans="3:19" x14ac:dyDescent="0.25"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</row>
    <row r="11" spans="3:19" x14ac:dyDescent="0.25">
      <c r="C11" s="44"/>
      <c r="D11" s="44"/>
      <c r="E11" s="44"/>
      <c r="F11" s="44"/>
      <c r="G11" s="44"/>
      <c r="H11" s="44">
        <v>1</v>
      </c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</row>
    <row r="12" spans="3:19" x14ac:dyDescent="0.25"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</row>
    <row r="13" spans="3:19" x14ac:dyDescent="0.25"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</row>
    <row r="14" spans="3:19" x14ac:dyDescent="0.25"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</row>
    <row r="15" spans="3:19" x14ac:dyDescent="0.25"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</row>
    <row r="16" spans="3:19" x14ac:dyDescent="0.25"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</row>
    <row r="17" spans="3:19" x14ac:dyDescent="0.25"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</row>
    <row r="18" spans="3:19" x14ac:dyDescent="0.25"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</row>
    <row r="19" spans="3:19" x14ac:dyDescent="0.25"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</row>
    <row r="20" spans="3:19" x14ac:dyDescent="0.25"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</row>
    <row r="21" spans="3:19" x14ac:dyDescent="0.25"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</row>
    <row r="22" spans="3:19" x14ac:dyDescent="0.25">
      <c r="C22" s="44"/>
      <c r="D22" s="48"/>
      <c r="E22" s="48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</row>
    <row r="23" spans="3:19" x14ac:dyDescent="0.25">
      <c r="D23" s="49"/>
      <c r="E23" s="49"/>
    </row>
    <row r="24" spans="3:19" x14ac:dyDescent="0.25">
      <c r="D24" s="49">
        <v>4500</v>
      </c>
      <c r="E24" s="49"/>
    </row>
    <row r="25" spans="3:19" x14ac:dyDescent="0.25">
      <c r="D25" s="49"/>
      <c r="E25" s="49"/>
    </row>
    <row r="26" spans="3:19" x14ac:dyDescent="0.25">
      <c r="D26" s="49"/>
      <c r="E26" s="49"/>
    </row>
    <row r="27" spans="3:19" x14ac:dyDescent="0.25">
      <c r="D27" s="47"/>
      <c r="E27" s="47"/>
    </row>
    <row r="28" spans="3:19" x14ac:dyDescent="0.25">
      <c r="D28" s="49"/>
      <c r="E28" s="4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371475</xdr:colOff>
                    <xdr:row>6</xdr:row>
                    <xdr:rowOff>9525</xdr:rowOff>
                  </from>
                  <to>
                    <xdr:col>7</xdr:col>
                    <xdr:colOff>361950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uton2_Cliquer">
                <anchor moveWithCells="1" sizeWithCells="1">
                  <from>
                    <xdr:col>15</xdr:col>
                    <xdr:colOff>600075</xdr:colOff>
                    <xdr:row>6</xdr:row>
                    <xdr:rowOff>76200</xdr:rowOff>
                  </from>
                  <to>
                    <xdr:col>19</xdr:col>
                    <xdr:colOff>409575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3_Cliquer">
                <anchor moveWithCells="1" sizeWithCells="1">
                  <from>
                    <xdr:col>6</xdr:col>
                    <xdr:colOff>457200</xdr:colOff>
                    <xdr:row>13</xdr:row>
                    <xdr:rowOff>142875</xdr:rowOff>
                  </from>
                  <to>
                    <xdr:col>10</xdr:col>
                    <xdr:colOff>276225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outon4_Cliquer">
                <anchor moveWithCells="1" sizeWithCells="1">
                  <from>
                    <xdr:col>12</xdr:col>
                    <xdr:colOff>285750</xdr:colOff>
                    <xdr:row>13</xdr:row>
                    <xdr:rowOff>114300</xdr:rowOff>
                  </from>
                  <to>
                    <xdr:col>16</xdr:col>
                    <xdr:colOff>66675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outon5_Cliquer">
                <anchor moveWithCells="1" sizeWithCells="1">
                  <from>
                    <xdr:col>10</xdr:col>
                    <xdr:colOff>152400</xdr:colOff>
                    <xdr:row>6</xdr:row>
                    <xdr:rowOff>85725</xdr:rowOff>
                  </from>
                  <to>
                    <xdr:col>13</xdr:col>
                    <xdr:colOff>571500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C000"/>
  </sheetPr>
  <dimension ref="A1:AA55"/>
  <sheetViews>
    <sheetView zoomScale="95" zoomScaleNormal="95" workbookViewId="0">
      <selection activeCell="A2" sqref="A2"/>
    </sheetView>
  </sheetViews>
  <sheetFormatPr baseColWidth="10" defaultRowHeight="15" x14ac:dyDescent="0.25"/>
  <cols>
    <col min="1" max="1" width="5.42578125" customWidth="1"/>
    <col min="2" max="2" width="18.42578125" customWidth="1"/>
    <col min="3" max="3" width="21.5703125" customWidth="1"/>
    <col min="4" max="4" width="11.42578125" customWidth="1"/>
    <col min="5" max="5" width="19.42578125" customWidth="1"/>
    <col min="6" max="6" width="17.42578125" customWidth="1"/>
    <col min="7" max="7" width="10.85546875" style="3" customWidth="1"/>
    <col min="8" max="8" width="10.7109375" style="3" customWidth="1"/>
    <col min="9" max="9" width="11.7109375" customWidth="1"/>
    <col min="10" max="10" width="12.140625" customWidth="1"/>
    <col min="11" max="11" width="12.7109375" style="3" customWidth="1"/>
    <col min="12" max="12" width="11.28515625" style="3" customWidth="1"/>
    <col min="13" max="13" width="8.85546875" style="3" customWidth="1"/>
    <col min="14" max="15" width="12.7109375" style="3" customWidth="1"/>
    <col min="16" max="16" width="11.7109375" style="3" customWidth="1"/>
    <col min="17" max="17" width="10.85546875" style="3" customWidth="1"/>
    <col min="18" max="18" width="8.5703125" style="3" customWidth="1"/>
    <col min="19" max="19" width="12.28515625" style="3" customWidth="1"/>
    <col min="20" max="20" width="9.42578125" style="3" customWidth="1"/>
    <col min="21" max="21" width="14" style="3" customWidth="1"/>
    <col min="22" max="22" width="12.42578125" style="3" customWidth="1"/>
    <col min="23" max="23" width="11.5703125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6</v>
      </c>
      <c r="H1" s="3" t="s">
        <v>7</v>
      </c>
      <c r="I1" t="s">
        <v>8</v>
      </c>
      <c r="J1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X1" t="s">
        <v>57</v>
      </c>
      <c r="Y1" t="s">
        <v>58</v>
      </c>
      <c r="Z1" t="s">
        <v>59</v>
      </c>
      <c r="AA1" t="s">
        <v>60</v>
      </c>
    </row>
    <row r="2" spans="1:27" x14ac:dyDescent="0.25">
      <c r="A2">
        <v>1</v>
      </c>
      <c r="B2" t="s">
        <v>32</v>
      </c>
      <c r="C2" t="s">
        <v>33</v>
      </c>
      <c r="D2" t="s">
        <v>34</v>
      </c>
      <c r="E2" s="1">
        <v>30568</v>
      </c>
      <c r="F2" t="s">
        <v>35</v>
      </c>
      <c r="G2" s="3" t="s">
        <v>26</v>
      </c>
      <c r="H2" s="3" t="s">
        <v>23</v>
      </c>
      <c r="I2" t="s">
        <v>28</v>
      </c>
      <c r="J2" s="3">
        <v>1</v>
      </c>
      <c r="K2" s="3">
        <v>3</v>
      </c>
      <c r="P2" s="3">
        <v>4</v>
      </c>
      <c r="S2" s="3">
        <v>17500</v>
      </c>
      <c r="T2" s="3">
        <v>4500</v>
      </c>
      <c r="U2" s="3">
        <v>25000</v>
      </c>
      <c r="X2">
        <f>Heure_Supp15(Tableau4[[#This Row],[Catégorie]],Tableau4[[#This Row],[H_supp_15]])</f>
        <v>0</v>
      </c>
      <c r="Y2">
        <f>Heure_Supp40(Tableau4[[#This Row],[Catégorie]],Tableau4[[#This Row],[H_supp_40]])</f>
        <v>0</v>
      </c>
      <c r="Z2">
        <f>Heure_Supp60(Tableau4[[#This Row],[Catégorie]],Tableau4[[#This Row],[H_supp_60]])</f>
        <v>0</v>
      </c>
      <c r="AA2">
        <f>Heure_Supp100(Tableau4[[#This Row],[Catégorie]],Tableau4[[#This Row],[H_supp_100]])</f>
        <v>16160</v>
      </c>
    </row>
    <row r="3" spans="1:27" x14ac:dyDescent="0.25">
      <c r="A3">
        <v>2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s="3" t="s">
        <v>26</v>
      </c>
      <c r="H3" s="3" t="s">
        <v>23</v>
      </c>
      <c r="I3" t="s">
        <v>29</v>
      </c>
      <c r="J3" s="3">
        <v>0</v>
      </c>
      <c r="K3" s="3">
        <v>0</v>
      </c>
      <c r="M3" s="3">
        <v>8</v>
      </c>
      <c r="N3" s="3">
        <v>4</v>
      </c>
      <c r="P3" s="3">
        <v>3</v>
      </c>
      <c r="Q3" s="3">
        <v>15000</v>
      </c>
      <c r="S3" s="3">
        <v>12500</v>
      </c>
      <c r="X3">
        <f>Heure_Supp15(Tableau4[[#This Row],[Catégorie]],Tableau4[[#This Row],[H_supp_15]])</f>
        <v>18584</v>
      </c>
      <c r="Y3">
        <f>Heure_Supp40(Tableau4[[#This Row],[Catégorie]],Tableau4[[#This Row],[H_supp_40]])</f>
        <v>11312</v>
      </c>
      <c r="Z3">
        <f>Heure_Supp60(Tableau4[[#This Row],[Catégorie]],Tableau4[[#This Row],[H_supp_60]])</f>
        <v>0</v>
      </c>
      <c r="AA3">
        <f>Heure_Supp100(Tableau4[[#This Row],[Catégorie]],Tableau4[[#This Row],[H_supp_100]])</f>
        <v>12120</v>
      </c>
    </row>
    <row r="4" spans="1:27" x14ac:dyDescent="0.25">
      <c r="A4">
        <v>3</v>
      </c>
      <c r="B4" t="s">
        <v>41</v>
      </c>
      <c r="C4" t="s">
        <v>42</v>
      </c>
      <c r="D4" t="s">
        <v>43</v>
      </c>
      <c r="E4" t="s">
        <v>44</v>
      </c>
      <c r="F4" t="s">
        <v>45</v>
      </c>
      <c r="G4" s="3" t="s">
        <v>26</v>
      </c>
      <c r="H4" s="3" t="s">
        <v>23</v>
      </c>
      <c r="I4" t="s">
        <v>28</v>
      </c>
      <c r="J4" s="3">
        <v>2</v>
      </c>
      <c r="K4" s="3">
        <v>6</v>
      </c>
      <c r="O4" s="3">
        <v>6</v>
      </c>
      <c r="P4" s="3">
        <v>2</v>
      </c>
      <c r="S4" s="3">
        <v>20000</v>
      </c>
      <c r="T4" s="3">
        <v>5000</v>
      </c>
      <c r="X4">
        <f>Heure_Supp15(Tableau4[[#This Row],[Catégorie]],Tableau4[[#This Row],[H_supp_15]])</f>
        <v>0</v>
      </c>
      <c r="Y4">
        <f>Heure_Supp40(Tableau4[[#This Row],[Catégorie]],Tableau4[[#This Row],[H_supp_40]])</f>
        <v>0</v>
      </c>
      <c r="Z4">
        <f>Heure_Supp60(Tableau4[[#This Row],[Catégorie]],Tableau4[[#This Row],[H_supp_60]])</f>
        <v>19392</v>
      </c>
      <c r="AA4">
        <f>Heure_Supp100(Tableau4[[#This Row],[Catégorie]],Tableau4[[#This Row],[H_supp_100]])</f>
        <v>8080</v>
      </c>
    </row>
    <row r="5" spans="1:27" x14ac:dyDescent="0.25">
      <c r="A5">
        <v>4</v>
      </c>
      <c r="B5" t="s">
        <v>46</v>
      </c>
      <c r="C5" t="s">
        <v>47</v>
      </c>
      <c r="D5" t="s">
        <v>48</v>
      </c>
      <c r="E5" t="s">
        <v>49</v>
      </c>
      <c r="F5" t="s">
        <v>50</v>
      </c>
      <c r="G5" s="3" t="s">
        <v>26</v>
      </c>
      <c r="H5" s="3" t="s">
        <v>24</v>
      </c>
      <c r="I5" t="s">
        <v>28</v>
      </c>
      <c r="J5" s="3">
        <v>1</v>
      </c>
      <c r="K5" s="3">
        <v>1</v>
      </c>
      <c r="M5" s="3">
        <v>8</v>
      </c>
      <c r="N5" s="3">
        <v>4</v>
      </c>
      <c r="Q5" s="3">
        <v>10000</v>
      </c>
      <c r="X5">
        <f>Heure_Supp15(Tableau4[[#This Row],[Catégorie]],Tableau4[[#This Row],[H_supp_15]])</f>
        <v>12741.999999999998</v>
      </c>
      <c r="Y5">
        <f>Heure_Supp40(Tableau4[[#This Row],[Catégorie]],Tableau4[[#This Row],[H_supp_40]])</f>
        <v>7755.9999999999991</v>
      </c>
      <c r="Z5">
        <f>Heure_Supp60(Tableau4[[#This Row],[Catégorie]],Tableau4[[#This Row],[H_supp_60]])</f>
        <v>0</v>
      </c>
      <c r="AA5">
        <f>Heure_Supp100(Tableau4[[#This Row],[Catégorie]],Tableau4[[#This Row],[H_supp_100]])</f>
        <v>0</v>
      </c>
    </row>
    <row r="6" spans="1:27" x14ac:dyDescent="0.25">
      <c r="A6">
        <v>5</v>
      </c>
      <c r="B6" t="s">
        <v>51</v>
      </c>
      <c r="C6" t="s">
        <v>52</v>
      </c>
      <c r="D6" t="s">
        <v>53</v>
      </c>
      <c r="E6" t="s">
        <v>54</v>
      </c>
      <c r="F6" t="s">
        <v>55</v>
      </c>
      <c r="G6" s="3" t="s">
        <v>26</v>
      </c>
      <c r="H6" s="3" t="s">
        <v>24</v>
      </c>
      <c r="I6" t="s">
        <v>29</v>
      </c>
      <c r="J6" s="3">
        <v>0</v>
      </c>
      <c r="K6" s="3">
        <v>1</v>
      </c>
      <c r="L6" s="3">
        <v>15000</v>
      </c>
      <c r="M6" s="3">
        <v>8</v>
      </c>
      <c r="N6" s="3">
        <v>4</v>
      </c>
      <c r="O6" s="3">
        <v>4</v>
      </c>
      <c r="P6" s="3">
        <v>2</v>
      </c>
      <c r="R6" s="3">
        <v>35000</v>
      </c>
      <c r="T6" s="3">
        <v>3500</v>
      </c>
      <c r="U6" s="3">
        <v>30000</v>
      </c>
      <c r="V6" s="3">
        <v>20000</v>
      </c>
      <c r="X6">
        <f>Heure_Supp15(Tableau4[[#This Row],[Catégorie]],Tableau4[[#This Row],[H_supp_15]])</f>
        <v>12741.999999999998</v>
      </c>
      <c r="Y6">
        <f>Heure_Supp40(Tableau4[[#This Row],[Catégorie]],Tableau4[[#This Row],[H_supp_40]])</f>
        <v>7755.9999999999991</v>
      </c>
      <c r="Z6">
        <f>Heure_Supp60(Tableau4[[#This Row],[Catégorie]],Tableau4[[#This Row],[H_supp_60]])</f>
        <v>8864</v>
      </c>
      <c r="AA6">
        <f>Heure_Supp100(Tableau4[[#This Row],[Catégorie]],Tableau4[[#This Row],[H_supp_100]])</f>
        <v>5540</v>
      </c>
    </row>
    <row r="7" spans="1:27" x14ac:dyDescent="0.25">
      <c r="A7">
        <v>6</v>
      </c>
      <c r="B7" t="s">
        <v>147</v>
      </c>
      <c r="C7" t="s">
        <v>84</v>
      </c>
      <c r="D7" t="s">
        <v>85</v>
      </c>
      <c r="E7" t="s">
        <v>86</v>
      </c>
      <c r="F7" t="s">
        <v>87</v>
      </c>
      <c r="G7" s="3" t="s">
        <v>26</v>
      </c>
      <c r="H7" s="3" t="s">
        <v>24</v>
      </c>
      <c r="I7" t="s">
        <v>29</v>
      </c>
      <c r="J7" s="3">
        <v>0</v>
      </c>
      <c r="K7" s="3">
        <v>0</v>
      </c>
      <c r="T7" s="3">
        <v>2500</v>
      </c>
      <c r="X7">
        <f>Heure_Supp15(Tableau4[[#This Row],[Catégorie]],Tableau4[[#This Row],[H_supp_15]])</f>
        <v>0</v>
      </c>
      <c r="Y7">
        <f>Heure_Supp40(Tableau4[[#This Row],[Catégorie]],Tableau4[[#This Row],[H_supp_40]])</f>
        <v>0</v>
      </c>
      <c r="Z7">
        <f>Heure_Supp60(Tableau4[[#This Row],[Catégorie]],Tableau4[[#This Row],[H_supp_60]])</f>
        <v>0</v>
      </c>
      <c r="AA7">
        <f>Heure_Supp100(Tableau4[[#This Row],[Catégorie]],Tableau4[[#This Row],[H_supp_100]])</f>
        <v>0</v>
      </c>
    </row>
    <row r="8" spans="1:27" x14ac:dyDescent="0.25">
      <c r="A8">
        <v>7</v>
      </c>
      <c r="B8" t="s">
        <v>88</v>
      </c>
      <c r="C8" t="s">
        <v>89</v>
      </c>
      <c r="D8" t="s">
        <v>90</v>
      </c>
      <c r="E8" t="s">
        <v>91</v>
      </c>
      <c r="F8" t="s">
        <v>92</v>
      </c>
      <c r="G8" s="3" t="s">
        <v>25</v>
      </c>
      <c r="H8" s="3" t="s">
        <v>22</v>
      </c>
      <c r="I8" t="s">
        <v>28</v>
      </c>
      <c r="J8" s="3">
        <v>0</v>
      </c>
      <c r="K8" s="3">
        <v>4</v>
      </c>
      <c r="Q8" s="3">
        <v>10000</v>
      </c>
      <c r="R8" s="3">
        <v>60000</v>
      </c>
      <c r="X8">
        <f>Heure_Supp15(Tableau4[[#This Row],[Catégorie]],Tableau4[[#This Row],[H_supp_15]])</f>
        <v>0</v>
      </c>
      <c r="Y8">
        <f>Heure_Supp40(Tableau4[[#This Row],[Catégorie]],Tableau4[[#This Row],[H_supp_40]])</f>
        <v>0</v>
      </c>
      <c r="Z8">
        <f>Heure_Supp60(Tableau4[[#This Row],[Catégorie]],Tableau4[[#This Row],[H_supp_60]])</f>
        <v>0</v>
      </c>
      <c r="AA8">
        <f>Heure_Supp100(Tableau4[[#This Row],[Catégorie]],Tableau4[[#This Row],[H_supp_100]])</f>
        <v>0</v>
      </c>
    </row>
    <row r="9" spans="1:27" x14ac:dyDescent="0.25">
      <c r="A9">
        <v>8</v>
      </c>
      <c r="B9" t="s">
        <v>93</v>
      </c>
      <c r="C9" t="s">
        <v>94</v>
      </c>
      <c r="D9" t="s">
        <v>95</v>
      </c>
      <c r="E9" t="s">
        <v>96</v>
      </c>
      <c r="F9" t="s">
        <v>35</v>
      </c>
      <c r="G9" s="3" t="s">
        <v>25</v>
      </c>
      <c r="H9" s="3" t="s">
        <v>22</v>
      </c>
      <c r="I9" t="s">
        <v>29</v>
      </c>
      <c r="J9" s="3">
        <v>0</v>
      </c>
      <c r="K9" s="3">
        <v>0</v>
      </c>
      <c r="T9" s="3">
        <v>3000</v>
      </c>
      <c r="X9">
        <f>Heure_Supp15(Tableau4[[#This Row],[Catégorie]],Tableau4[[#This Row],[H_supp_15]])</f>
        <v>0</v>
      </c>
      <c r="Y9">
        <f>Heure_Supp40(Tableau4[[#This Row],[Catégorie]],Tableau4[[#This Row],[H_supp_40]])</f>
        <v>0</v>
      </c>
      <c r="Z9">
        <f>Heure_Supp60(Tableau4[[#This Row],[Catégorie]],Tableau4[[#This Row],[H_supp_60]])</f>
        <v>0</v>
      </c>
      <c r="AA9">
        <f>Heure_Supp100(Tableau4[[#This Row],[Catégorie]],Tableau4[[#This Row],[H_supp_100]])</f>
        <v>0</v>
      </c>
    </row>
    <row r="10" spans="1:27" x14ac:dyDescent="0.25">
      <c r="A10">
        <v>9</v>
      </c>
      <c r="B10" t="s">
        <v>97</v>
      </c>
      <c r="C10" t="s">
        <v>98</v>
      </c>
      <c r="D10" t="s">
        <v>95</v>
      </c>
      <c r="E10" s="1">
        <v>29260</v>
      </c>
      <c r="F10" t="s">
        <v>92</v>
      </c>
      <c r="G10" s="3" t="s">
        <v>26</v>
      </c>
      <c r="H10" s="3" t="s">
        <v>22</v>
      </c>
      <c r="I10" t="s">
        <v>28</v>
      </c>
      <c r="J10" s="3">
        <v>3</v>
      </c>
      <c r="K10" s="3">
        <v>8</v>
      </c>
      <c r="R10" s="3">
        <v>37500</v>
      </c>
      <c r="T10" s="3">
        <v>3000</v>
      </c>
      <c r="U10" s="3">
        <v>55000</v>
      </c>
      <c r="X10">
        <f>Heure_Supp15(Tableau4[[#This Row],[Catégorie]],Tableau4[[#This Row],[H_supp_15]])</f>
        <v>0</v>
      </c>
      <c r="Y10">
        <f>Heure_Supp40(Tableau4[[#This Row],[Catégorie]],Tableau4[[#This Row],[H_supp_40]])</f>
        <v>0</v>
      </c>
      <c r="Z10">
        <f>Heure_Supp60(Tableau4[[#This Row],[Catégorie]],Tableau4[[#This Row],[H_supp_60]])</f>
        <v>0</v>
      </c>
      <c r="AA10">
        <f>Heure_Supp100(Tableau4[[#This Row],[Catégorie]],Tableau4[[#This Row],[H_supp_100]])</f>
        <v>0</v>
      </c>
    </row>
    <row r="11" spans="1:27" x14ac:dyDescent="0.25">
      <c r="A11">
        <v>10</v>
      </c>
      <c r="B11" t="s">
        <v>99</v>
      </c>
      <c r="C11" t="s">
        <v>100</v>
      </c>
      <c r="D11" t="s">
        <v>101</v>
      </c>
      <c r="E11" s="1">
        <v>27977</v>
      </c>
      <c r="F11" t="s">
        <v>102</v>
      </c>
      <c r="G11" s="3" t="s">
        <v>26</v>
      </c>
      <c r="H11" s="3" t="s">
        <v>22</v>
      </c>
      <c r="I11" t="s">
        <v>29</v>
      </c>
      <c r="J11" s="3">
        <v>0</v>
      </c>
      <c r="K11" s="3">
        <v>0</v>
      </c>
      <c r="R11" s="3">
        <v>50000</v>
      </c>
      <c r="X11">
        <f>Heure_Supp15(Tableau4[[#This Row],[Catégorie]],Tableau4[[#This Row],[H_supp_15]])</f>
        <v>0</v>
      </c>
      <c r="Y11">
        <f>Heure_Supp40(Tableau4[[#This Row],[Catégorie]],Tableau4[[#This Row],[H_supp_40]])</f>
        <v>0</v>
      </c>
      <c r="Z11">
        <f>Heure_Supp60(Tableau4[[#This Row],[Catégorie]],Tableau4[[#This Row],[H_supp_60]])</f>
        <v>0</v>
      </c>
      <c r="AA11">
        <f>Heure_Supp100(Tableau4[[#This Row],[Catégorie]],Tableau4[[#This Row],[H_supp_100]])</f>
        <v>0</v>
      </c>
    </row>
    <row r="12" spans="1:27" x14ac:dyDescent="0.25">
      <c r="A12">
        <v>11</v>
      </c>
      <c r="B12" t="s">
        <v>103</v>
      </c>
      <c r="C12" t="s">
        <v>104</v>
      </c>
      <c r="D12" t="s">
        <v>105</v>
      </c>
      <c r="E12" t="s">
        <v>106</v>
      </c>
      <c r="F12" t="s">
        <v>107</v>
      </c>
      <c r="G12" s="3" t="s">
        <v>25</v>
      </c>
      <c r="H12" s="3" t="s">
        <v>23</v>
      </c>
      <c r="I12" t="s">
        <v>29</v>
      </c>
      <c r="J12" s="3">
        <v>0</v>
      </c>
      <c r="K12" s="3">
        <v>0</v>
      </c>
      <c r="M12" s="3">
        <v>8</v>
      </c>
      <c r="O12" s="3">
        <v>3</v>
      </c>
      <c r="P12" s="3">
        <v>2</v>
      </c>
      <c r="S12" s="3">
        <v>25000</v>
      </c>
      <c r="T12" s="3">
        <v>3000</v>
      </c>
      <c r="X12">
        <f>Heure_Supp15(Tableau4[[#This Row],[Catégorie]],Tableau4[[#This Row],[H_supp_15]])</f>
        <v>18584</v>
      </c>
      <c r="Y12">
        <f>Heure_Supp40(Tableau4[[#This Row],[Catégorie]],Tableau4[[#This Row],[H_supp_40]])</f>
        <v>0</v>
      </c>
      <c r="Z12">
        <f>Heure_Supp60(Tableau4[[#This Row],[Catégorie]],Tableau4[[#This Row],[H_supp_60]])</f>
        <v>9696</v>
      </c>
      <c r="AA12">
        <f>Heure_Supp100(Tableau4[[#This Row],[Catégorie]],Tableau4[[#This Row],[H_supp_100]])</f>
        <v>8080</v>
      </c>
    </row>
    <row r="13" spans="1:27" x14ac:dyDescent="0.25">
      <c r="A13">
        <v>12</v>
      </c>
      <c r="B13" t="s">
        <v>108</v>
      </c>
      <c r="C13" t="s">
        <v>109</v>
      </c>
      <c r="D13" t="s">
        <v>110</v>
      </c>
      <c r="E13" t="s">
        <v>111</v>
      </c>
      <c r="F13" t="s">
        <v>112</v>
      </c>
      <c r="G13" s="3" t="s">
        <v>26</v>
      </c>
      <c r="H13" s="3" t="s">
        <v>23</v>
      </c>
      <c r="I13" t="s">
        <v>29</v>
      </c>
      <c r="J13" s="3">
        <v>0</v>
      </c>
      <c r="K13" s="3">
        <v>0</v>
      </c>
      <c r="O13" s="3">
        <v>2</v>
      </c>
      <c r="U13" s="3">
        <v>17500</v>
      </c>
      <c r="X13">
        <f>Heure_Supp15(Tableau4[[#This Row],[Catégorie]],Tableau4[[#This Row],[H_supp_15]])</f>
        <v>0</v>
      </c>
      <c r="Y13">
        <f>Heure_Supp40(Tableau4[[#This Row],[Catégorie]],Tableau4[[#This Row],[H_supp_40]])</f>
        <v>0</v>
      </c>
      <c r="Z13">
        <f>Heure_Supp60(Tableau4[[#This Row],[Catégorie]],Tableau4[[#This Row],[H_supp_60]])</f>
        <v>6464</v>
      </c>
      <c r="AA13">
        <f>Heure_Supp100(Tableau4[[#This Row],[Catégorie]],Tableau4[[#This Row],[H_supp_100]])</f>
        <v>0</v>
      </c>
    </row>
    <row r="14" spans="1:27" x14ac:dyDescent="0.25">
      <c r="A14">
        <v>13</v>
      </c>
      <c r="B14" t="s">
        <v>113</v>
      </c>
      <c r="C14" t="s">
        <v>114</v>
      </c>
      <c r="D14" t="s">
        <v>115</v>
      </c>
      <c r="E14" t="s">
        <v>116</v>
      </c>
      <c r="F14" t="s">
        <v>117</v>
      </c>
      <c r="G14" s="3" t="s">
        <v>25</v>
      </c>
      <c r="H14" s="3" t="s">
        <v>23</v>
      </c>
      <c r="I14" t="s">
        <v>29</v>
      </c>
      <c r="J14" s="3">
        <v>0</v>
      </c>
      <c r="K14" s="3">
        <v>1</v>
      </c>
      <c r="M14" s="3">
        <v>8</v>
      </c>
      <c r="N14" s="3">
        <v>5</v>
      </c>
      <c r="O14" s="3">
        <v>3</v>
      </c>
      <c r="P14" s="3">
        <v>3</v>
      </c>
      <c r="S14" s="3">
        <v>17000</v>
      </c>
      <c r="T14" s="3">
        <v>3000</v>
      </c>
      <c r="V14" s="3">
        <v>15000</v>
      </c>
      <c r="X14">
        <f>Heure_Supp15(Tableau4[[#This Row],[Catégorie]],Tableau4[[#This Row],[H_supp_15]])</f>
        <v>18584</v>
      </c>
      <c r="Y14">
        <f>Heure_Supp40(Tableau4[[#This Row],[Catégorie]],Tableau4[[#This Row],[H_supp_40]])</f>
        <v>14140</v>
      </c>
      <c r="Z14">
        <f>Heure_Supp60(Tableau4[[#This Row],[Catégorie]],Tableau4[[#This Row],[H_supp_60]])</f>
        <v>9696</v>
      </c>
      <c r="AA14">
        <f>Heure_Supp100(Tableau4[[#This Row],[Catégorie]],Tableau4[[#This Row],[H_supp_100]])</f>
        <v>12120</v>
      </c>
    </row>
    <row r="15" spans="1:27" x14ac:dyDescent="0.25">
      <c r="A15">
        <v>14</v>
      </c>
      <c r="B15" t="s">
        <v>118</v>
      </c>
      <c r="C15" t="s">
        <v>81</v>
      </c>
      <c r="D15" t="s">
        <v>119</v>
      </c>
      <c r="E15" t="s">
        <v>120</v>
      </c>
      <c r="F15" t="s">
        <v>121</v>
      </c>
      <c r="G15" s="3" t="s">
        <v>26</v>
      </c>
      <c r="H15" s="3" t="s">
        <v>24</v>
      </c>
      <c r="I15" t="s">
        <v>29</v>
      </c>
      <c r="J15" s="3">
        <v>0</v>
      </c>
      <c r="K15" s="3">
        <v>0</v>
      </c>
      <c r="T15" s="3">
        <v>2500</v>
      </c>
      <c r="X15">
        <f>Heure_Supp15(Tableau4[[#This Row],[Catégorie]],Tableau4[[#This Row],[H_supp_15]])</f>
        <v>0</v>
      </c>
      <c r="Y15">
        <f>Heure_Supp40(Tableau4[[#This Row],[Catégorie]],Tableau4[[#This Row],[H_supp_40]])</f>
        <v>0</v>
      </c>
      <c r="Z15">
        <f>Heure_Supp60(Tableau4[[#This Row],[Catégorie]],Tableau4[[#This Row],[H_supp_60]])</f>
        <v>0</v>
      </c>
      <c r="AA15">
        <f>Heure_Supp100(Tableau4[[#This Row],[Catégorie]],Tableau4[[#This Row],[H_supp_100]])</f>
        <v>0</v>
      </c>
    </row>
    <row r="16" spans="1:27" x14ac:dyDescent="0.25">
      <c r="A16">
        <v>15</v>
      </c>
      <c r="B16" t="s">
        <v>122</v>
      </c>
      <c r="C16" t="s">
        <v>123</v>
      </c>
      <c r="D16" t="s">
        <v>119</v>
      </c>
      <c r="E16" t="s">
        <v>124</v>
      </c>
      <c r="F16" t="s">
        <v>121</v>
      </c>
      <c r="G16" s="3" t="s">
        <v>26</v>
      </c>
      <c r="H16" s="3" t="s">
        <v>24</v>
      </c>
      <c r="I16" t="s">
        <v>29</v>
      </c>
      <c r="J16" s="3">
        <v>0</v>
      </c>
      <c r="K16" s="3">
        <v>0</v>
      </c>
      <c r="N16" s="3">
        <v>5</v>
      </c>
      <c r="O16" s="3">
        <v>5</v>
      </c>
      <c r="X16">
        <f>Heure_Supp15(Tableau4[[#This Row],[Catégorie]],Tableau4[[#This Row],[H_supp_15]])</f>
        <v>0</v>
      </c>
      <c r="Y16">
        <f>Heure_Supp40(Tableau4[[#This Row],[Catégorie]],Tableau4[[#This Row],[H_supp_40]])</f>
        <v>9694.9999999999982</v>
      </c>
      <c r="Z16">
        <f>Heure_Supp60(Tableau4[[#This Row],[Catégorie]],Tableau4[[#This Row],[H_supp_60]])</f>
        <v>11080</v>
      </c>
      <c r="AA16">
        <f>Heure_Supp100(Tableau4[[#This Row],[Catégorie]],Tableau4[[#This Row],[H_supp_100]])</f>
        <v>0</v>
      </c>
    </row>
    <row r="17" spans="1:27" x14ac:dyDescent="0.25">
      <c r="A17">
        <v>16</v>
      </c>
      <c r="B17" t="s">
        <v>125</v>
      </c>
      <c r="C17" t="s">
        <v>126</v>
      </c>
      <c r="D17" t="s">
        <v>127</v>
      </c>
      <c r="E17" t="s">
        <v>128</v>
      </c>
      <c r="F17" t="s">
        <v>129</v>
      </c>
      <c r="G17" s="3" t="s">
        <v>26</v>
      </c>
      <c r="H17" s="3" t="s">
        <v>24</v>
      </c>
      <c r="I17" t="s">
        <v>28</v>
      </c>
      <c r="J17" s="3">
        <v>1</v>
      </c>
      <c r="K17" s="3">
        <v>4</v>
      </c>
      <c r="M17" s="3">
        <v>8</v>
      </c>
      <c r="P17" s="3">
        <v>6</v>
      </c>
      <c r="Q17" s="3">
        <v>10000</v>
      </c>
      <c r="X17">
        <f>Heure_Supp15(Tableau4[[#This Row],[Catégorie]],Tableau4[[#This Row],[H_supp_15]])</f>
        <v>12741.999999999998</v>
      </c>
      <c r="Y17">
        <f>Heure_Supp40(Tableau4[[#This Row],[Catégorie]],Tableau4[[#This Row],[H_supp_40]])</f>
        <v>0</v>
      </c>
      <c r="Z17">
        <f>Heure_Supp60(Tableau4[[#This Row],[Catégorie]],Tableau4[[#This Row],[H_supp_60]])</f>
        <v>0</v>
      </c>
      <c r="AA17">
        <f>Heure_Supp100(Tableau4[[#This Row],[Catégorie]],Tableau4[[#This Row],[H_supp_100]])</f>
        <v>16620</v>
      </c>
    </row>
    <row r="18" spans="1:27" x14ac:dyDescent="0.25">
      <c r="A18">
        <v>17</v>
      </c>
      <c r="B18" t="s">
        <v>130</v>
      </c>
      <c r="C18" t="s">
        <v>131</v>
      </c>
      <c r="D18" t="s">
        <v>127</v>
      </c>
      <c r="E18" t="s">
        <v>132</v>
      </c>
      <c r="F18" t="s">
        <v>133</v>
      </c>
      <c r="G18" s="3" t="s">
        <v>26</v>
      </c>
      <c r="H18" s="3" t="s">
        <v>24</v>
      </c>
      <c r="I18" t="s">
        <v>28</v>
      </c>
      <c r="J18" s="3">
        <v>1</v>
      </c>
      <c r="K18" s="3">
        <v>3</v>
      </c>
      <c r="N18" s="3">
        <v>2</v>
      </c>
      <c r="O18" s="3">
        <v>5</v>
      </c>
      <c r="U18" s="3">
        <v>20000</v>
      </c>
      <c r="X18">
        <f>Heure_Supp15(Tableau4[[#This Row],[Catégorie]],Tableau4[[#This Row],[H_supp_15]])</f>
        <v>0</v>
      </c>
      <c r="Y18">
        <f>Heure_Supp40(Tableau4[[#This Row],[Catégorie]],Tableau4[[#This Row],[H_supp_40]])</f>
        <v>3877.9999999999995</v>
      </c>
      <c r="Z18">
        <f>Heure_Supp60(Tableau4[[#This Row],[Catégorie]],Tableau4[[#This Row],[H_supp_60]])</f>
        <v>11080</v>
      </c>
      <c r="AA18">
        <f>Heure_Supp100(Tableau4[[#This Row],[Catégorie]],Tableau4[[#This Row],[H_supp_100]])</f>
        <v>0</v>
      </c>
    </row>
    <row r="19" spans="1:27" x14ac:dyDescent="0.25">
      <c r="A19">
        <v>18</v>
      </c>
      <c r="B19" t="s">
        <v>134</v>
      </c>
      <c r="C19" t="s">
        <v>135</v>
      </c>
      <c r="D19" t="s">
        <v>136</v>
      </c>
      <c r="E19" t="s">
        <v>137</v>
      </c>
      <c r="F19" t="s">
        <v>107</v>
      </c>
      <c r="G19" s="3" t="s">
        <v>26</v>
      </c>
      <c r="H19" s="3" t="s">
        <v>22</v>
      </c>
      <c r="I19" t="s">
        <v>28</v>
      </c>
      <c r="J19" s="3">
        <v>2</v>
      </c>
      <c r="K19" s="3">
        <v>7</v>
      </c>
      <c r="Q19" s="3">
        <v>10000</v>
      </c>
      <c r="R19" s="3">
        <v>65000</v>
      </c>
      <c r="U19" s="3">
        <v>15000</v>
      </c>
      <c r="X19">
        <f>Heure_Supp15(Tableau4[[#This Row],[Catégorie]],Tableau4[[#This Row],[H_supp_15]])</f>
        <v>0</v>
      </c>
      <c r="Y19">
        <f>Heure_Supp40(Tableau4[[#This Row],[Catégorie]],Tableau4[[#This Row],[H_supp_40]])</f>
        <v>0</v>
      </c>
      <c r="Z19">
        <f>Heure_Supp60(Tableau4[[#This Row],[Catégorie]],Tableau4[[#This Row],[H_supp_60]])</f>
        <v>0</v>
      </c>
      <c r="AA19">
        <f>Heure_Supp100(Tableau4[[#This Row],[Catégorie]],Tableau4[[#This Row],[H_supp_100]])</f>
        <v>0</v>
      </c>
    </row>
    <row r="20" spans="1:27" x14ac:dyDescent="0.25">
      <c r="A20">
        <v>19</v>
      </c>
      <c r="B20" t="s">
        <v>138</v>
      </c>
      <c r="C20" t="s">
        <v>139</v>
      </c>
      <c r="D20" t="s">
        <v>140</v>
      </c>
      <c r="E20" t="s">
        <v>141</v>
      </c>
      <c r="F20" t="s">
        <v>142</v>
      </c>
      <c r="G20" s="3" t="s">
        <v>26</v>
      </c>
      <c r="H20" s="3" t="s">
        <v>24</v>
      </c>
      <c r="I20" t="s">
        <v>28</v>
      </c>
      <c r="J20" s="3">
        <v>1</v>
      </c>
      <c r="K20" s="3">
        <v>1</v>
      </c>
      <c r="P20" s="3">
        <v>8</v>
      </c>
      <c r="T20" s="3">
        <v>3000</v>
      </c>
      <c r="X20">
        <f>Heure_Supp15(Tableau4[[#This Row],[Catégorie]],Tableau4[[#This Row],[H_supp_15]])</f>
        <v>0</v>
      </c>
      <c r="Y20">
        <f>Heure_Supp40(Tableau4[[#This Row],[Catégorie]],Tableau4[[#This Row],[H_supp_40]])</f>
        <v>0</v>
      </c>
      <c r="Z20">
        <f>Heure_Supp60(Tableau4[[#This Row],[Catégorie]],Tableau4[[#This Row],[H_supp_60]])</f>
        <v>0</v>
      </c>
      <c r="AA20">
        <f>Heure_Supp100(Tableau4[[#This Row],[Catégorie]],Tableau4[[#This Row],[H_supp_100]])</f>
        <v>22160</v>
      </c>
    </row>
    <row r="21" spans="1:27" x14ac:dyDescent="0.25">
      <c r="A21">
        <v>20</v>
      </c>
      <c r="B21" t="s">
        <v>143</v>
      </c>
      <c r="C21" t="s">
        <v>144</v>
      </c>
      <c r="D21" t="s">
        <v>140</v>
      </c>
      <c r="E21" t="s">
        <v>145</v>
      </c>
      <c r="F21" t="s">
        <v>146</v>
      </c>
      <c r="G21" s="3" t="s">
        <v>26</v>
      </c>
      <c r="H21" s="3" t="s">
        <v>23</v>
      </c>
      <c r="I21" t="s">
        <v>28</v>
      </c>
      <c r="J21" s="3">
        <v>1</v>
      </c>
      <c r="K21" s="3">
        <v>3</v>
      </c>
      <c r="L21" s="3">
        <v>13500</v>
      </c>
      <c r="M21" s="3">
        <v>8</v>
      </c>
      <c r="N21" s="3">
        <v>3</v>
      </c>
      <c r="T21" s="3">
        <v>2500</v>
      </c>
      <c r="X21">
        <f>Heure_Supp15(Tableau4[[#This Row],[Catégorie]],Tableau4[[#This Row],[H_supp_15]])</f>
        <v>18584</v>
      </c>
      <c r="Y21">
        <f>Heure_Supp40(Tableau4[[#This Row],[Catégorie]],Tableau4[[#This Row],[H_supp_40]])</f>
        <v>8484</v>
      </c>
      <c r="Z21">
        <f>Heure_Supp60(Tableau4[[#This Row],[Catégorie]],Tableau4[[#This Row],[H_supp_60]])</f>
        <v>0</v>
      </c>
      <c r="AA21">
        <f>Heure_Supp100(Tableau4[[#This Row],[Catégorie]],Tableau4[[#This Row],[H_supp_100]])</f>
        <v>0</v>
      </c>
    </row>
    <row r="22" spans="1:27" x14ac:dyDescent="0.25">
      <c r="A22">
        <v>21</v>
      </c>
      <c r="B22" t="s">
        <v>148</v>
      </c>
      <c r="C22" t="s">
        <v>149</v>
      </c>
      <c r="D22" t="s">
        <v>80</v>
      </c>
      <c r="E22" s="1">
        <v>28924</v>
      </c>
      <c r="F22" t="s">
        <v>150</v>
      </c>
      <c r="G22" s="3" t="s">
        <v>26</v>
      </c>
      <c r="H22" s="3" t="s">
        <v>23</v>
      </c>
      <c r="I22" t="s">
        <v>28</v>
      </c>
      <c r="J22" s="3">
        <v>2</v>
      </c>
      <c r="K22" s="3">
        <v>4</v>
      </c>
      <c r="M22" s="3">
        <v>8</v>
      </c>
      <c r="N22" s="3">
        <v>4</v>
      </c>
      <c r="O22" s="3">
        <v>4</v>
      </c>
      <c r="P22" s="3">
        <v>6</v>
      </c>
      <c r="S22" s="3">
        <v>20000</v>
      </c>
      <c r="X22">
        <f>Heure_Supp15(Tableau4[[#This Row],[Catégorie]],Tableau4[[#This Row],[H_supp_15]])</f>
        <v>18584</v>
      </c>
      <c r="Y22">
        <f>Heure_Supp40(Tableau4[[#This Row],[Catégorie]],Tableau4[[#This Row],[H_supp_40]])</f>
        <v>11312</v>
      </c>
      <c r="Z22">
        <f>Heure_Supp60(Tableau4[[#This Row],[Catégorie]],Tableau4[[#This Row],[H_supp_60]])</f>
        <v>12928</v>
      </c>
      <c r="AA22">
        <f>Heure_Supp100(Tableau4[[#This Row],[Catégorie]],Tableau4[[#This Row],[H_supp_100]])</f>
        <v>24240</v>
      </c>
    </row>
    <row r="23" spans="1:27" x14ac:dyDescent="0.25">
      <c r="A23">
        <v>22</v>
      </c>
      <c r="B23" t="s">
        <v>151</v>
      </c>
      <c r="C23" t="s">
        <v>152</v>
      </c>
      <c r="D23" t="s">
        <v>80</v>
      </c>
      <c r="E23" s="1">
        <v>30263</v>
      </c>
      <c r="F23" t="s">
        <v>153</v>
      </c>
      <c r="G23" s="3" t="s">
        <v>25</v>
      </c>
      <c r="H23" s="3" t="s">
        <v>23</v>
      </c>
      <c r="I23" t="s">
        <v>28</v>
      </c>
      <c r="J23" s="3">
        <v>0</v>
      </c>
      <c r="K23" s="3">
        <v>3</v>
      </c>
      <c r="Q23" s="3">
        <v>10000</v>
      </c>
      <c r="X23">
        <f>Heure_Supp15(Tableau4[[#This Row],[Catégorie]],Tableau4[[#This Row],[H_supp_15]])</f>
        <v>0</v>
      </c>
      <c r="Y23">
        <f>Heure_Supp40(Tableau4[[#This Row],[Catégorie]],Tableau4[[#This Row],[H_supp_40]])</f>
        <v>0</v>
      </c>
      <c r="Z23">
        <f>Heure_Supp60(Tableau4[[#This Row],[Catégorie]],Tableau4[[#This Row],[H_supp_60]])</f>
        <v>0</v>
      </c>
      <c r="AA23">
        <f>Heure_Supp100(Tableau4[[#This Row],[Catégorie]],Tableau4[[#This Row],[H_supp_100]])</f>
        <v>0</v>
      </c>
    </row>
    <row r="24" spans="1:27" x14ac:dyDescent="0.25">
      <c r="A24">
        <v>23</v>
      </c>
      <c r="B24" t="s">
        <v>154</v>
      </c>
      <c r="C24" t="s">
        <v>155</v>
      </c>
      <c r="D24" t="s">
        <v>156</v>
      </c>
      <c r="E24" s="1">
        <v>27489</v>
      </c>
      <c r="F24" t="s">
        <v>157</v>
      </c>
      <c r="G24" s="3" t="s">
        <v>26</v>
      </c>
      <c r="H24" s="3" t="s">
        <v>24</v>
      </c>
      <c r="I24" t="s">
        <v>28</v>
      </c>
      <c r="J24" s="3">
        <v>2</v>
      </c>
      <c r="K24" s="3">
        <v>5</v>
      </c>
      <c r="O24" s="3">
        <v>3</v>
      </c>
      <c r="P24" s="3">
        <v>6</v>
      </c>
      <c r="R24" s="3">
        <v>50000</v>
      </c>
      <c r="X24">
        <f>Heure_Supp15(Tableau4[[#This Row],[Catégorie]],Tableau4[[#This Row],[H_supp_15]])</f>
        <v>0</v>
      </c>
      <c r="Y24">
        <f>Heure_Supp40(Tableau4[[#This Row],[Catégorie]],Tableau4[[#This Row],[H_supp_40]])</f>
        <v>0</v>
      </c>
      <c r="Z24">
        <f>Heure_Supp60(Tableau4[[#This Row],[Catégorie]],Tableau4[[#This Row],[H_supp_60]])</f>
        <v>6648</v>
      </c>
      <c r="AA24">
        <f>Heure_Supp100(Tableau4[[#This Row],[Catégorie]],Tableau4[[#This Row],[H_supp_100]])</f>
        <v>16620</v>
      </c>
    </row>
    <row r="25" spans="1:27" x14ac:dyDescent="0.25">
      <c r="A25">
        <v>24</v>
      </c>
      <c r="B25" t="s">
        <v>158</v>
      </c>
      <c r="C25" t="s">
        <v>159</v>
      </c>
      <c r="D25" t="s">
        <v>160</v>
      </c>
      <c r="E25" t="s">
        <v>161</v>
      </c>
      <c r="F25" t="s">
        <v>162</v>
      </c>
      <c r="G25" s="3" t="s">
        <v>26</v>
      </c>
      <c r="H25" s="3" t="s">
        <v>24</v>
      </c>
      <c r="I25" t="s">
        <v>28</v>
      </c>
      <c r="J25" s="3">
        <v>1</v>
      </c>
      <c r="K25" s="3">
        <v>0</v>
      </c>
      <c r="M25" s="3">
        <v>8</v>
      </c>
      <c r="N25" s="3">
        <v>5</v>
      </c>
      <c r="O25" s="3">
        <v>2</v>
      </c>
      <c r="Q25" s="3">
        <v>10000</v>
      </c>
      <c r="T25" s="3">
        <v>2500</v>
      </c>
      <c r="X25">
        <f>Heure_Supp15(Tableau4[[#This Row],[Catégorie]],Tableau4[[#This Row],[H_supp_15]])</f>
        <v>12741.999999999998</v>
      </c>
      <c r="Y25">
        <f>Heure_Supp40(Tableau4[[#This Row],[Catégorie]],Tableau4[[#This Row],[H_supp_40]])</f>
        <v>9694.9999999999982</v>
      </c>
      <c r="Z25">
        <f>Heure_Supp60(Tableau4[[#This Row],[Catégorie]],Tableau4[[#This Row],[H_supp_60]])</f>
        <v>4432</v>
      </c>
      <c r="AA25">
        <f>Heure_Supp100(Tableau4[[#This Row],[Catégorie]],Tableau4[[#This Row],[H_supp_100]])</f>
        <v>0</v>
      </c>
    </row>
    <row r="26" spans="1:27" x14ac:dyDescent="0.25">
      <c r="A26">
        <v>25</v>
      </c>
      <c r="B26" t="s">
        <v>163</v>
      </c>
      <c r="C26" t="s">
        <v>164</v>
      </c>
      <c r="D26" t="s">
        <v>160</v>
      </c>
      <c r="E26" s="1">
        <v>28525</v>
      </c>
      <c r="F26" t="s">
        <v>165</v>
      </c>
      <c r="G26" s="3" t="s">
        <v>25</v>
      </c>
      <c r="H26" s="3" t="s">
        <v>24</v>
      </c>
      <c r="I26" t="s">
        <v>29</v>
      </c>
      <c r="J26" s="3">
        <v>0</v>
      </c>
      <c r="K26" s="3">
        <v>0</v>
      </c>
      <c r="N26" s="3">
        <v>4</v>
      </c>
      <c r="P26" s="3">
        <v>5</v>
      </c>
      <c r="T26" s="3">
        <v>3000</v>
      </c>
      <c r="U26" s="3">
        <v>30000</v>
      </c>
      <c r="X26">
        <f>Heure_Supp15(Tableau4[[#This Row],[Catégorie]],Tableau4[[#This Row],[H_supp_15]])</f>
        <v>0</v>
      </c>
      <c r="Y26">
        <f>Heure_Supp40(Tableau4[[#This Row],[Catégorie]],Tableau4[[#This Row],[H_supp_40]])</f>
        <v>7755.9999999999991</v>
      </c>
      <c r="Z26">
        <f>Heure_Supp60(Tableau4[[#This Row],[Catégorie]],Tableau4[[#This Row],[H_supp_60]])</f>
        <v>0</v>
      </c>
      <c r="AA26">
        <f>Heure_Supp100(Tableau4[[#This Row],[Catégorie]],Tableau4[[#This Row],[H_supp_100]])</f>
        <v>13850</v>
      </c>
    </row>
    <row r="27" spans="1:27" x14ac:dyDescent="0.25">
      <c r="A27">
        <v>26</v>
      </c>
      <c r="B27" t="s">
        <v>166</v>
      </c>
      <c r="C27" t="s">
        <v>167</v>
      </c>
      <c r="D27" t="s">
        <v>168</v>
      </c>
      <c r="E27" t="s">
        <v>169</v>
      </c>
      <c r="F27" t="s">
        <v>170</v>
      </c>
      <c r="G27" s="3" t="s">
        <v>26</v>
      </c>
      <c r="H27" s="3" t="s">
        <v>24</v>
      </c>
      <c r="I27" t="s">
        <v>29</v>
      </c>
      <c r="J27" s="3">
        <v>0</v>
      </c>
      <c r="K27" s="3">
        <v>0</v>
      </c>
      <c r="L27" s="3">
        <v>12000</v>
      </c>
      <c r="M27" s="3">
        <v>8</v>
      </c>
      <c r="N27" s="3">
        <v>4</v>
      </c>
      <c r="O27" s="3">
        <v>5</v>
      </c>
      <c r="P27" s="3">
        <v>7</v>
      </c>
      <c r="X27">
        <f>Heure_Supp15(Tableau4[[#This Row],[Catégorie]],Tableau4[[#This Row],[H_supp_15]])</f>
        <v>12741.999999999998</v>
      </c>
      <c r="Y27">
        <f>Heure_Supp40(Tableau4[[#This Row],[Catégorie]],Tableau4[[#This Row],[H_supp_40]])</f>
        <v>7755.9999999999991</v>
      </c>
      <c r="Z27">
        <f>Heure_Supp60(Tableau4[[#This Row],[Catégorie]],Tableau4[[#This Row],[H_supp_60]])</f>
        <v>11080</v>
      </c>
      <c r="AA27">
        <f>Heure_Supp100(Tableau4[[#This Row],[Catégorie]],Tableau4[[#This Row],[H_supp_100]])</f>
        <v>19390</v>
      </c>
    </row>
    <row r="28" spans="1:27" x14ac:dyDescent="0.25">
      <c r="A28">
        <v>27</v>
      </c>
      <c r="B28" t="s">
        <v>171</v>
      </c>
      <c r="C28" t="s">
        <v>172</v>
      </c>
      <c r="D28" t="s">
        <v>173</v>
      </c>
      <c r="E28" t="s">
        <v>174</v>
      </c>
      <c r="F28" t="s">
        <v>175</v>
      </c>
      <c r="G28" s="3" t="s">
        <v>26</v>
      </c>
      <c r="H28" s="3" t="s">
        <v>22</v>
      </c>
      <c r="I28" t="s">
        <v>29</v>
      </c>
      <c r="J28" s="3">
        <v>0</v>
      </c>
      <c r="K28" s="3">
        <v>0</v>
      </c>
      <c r="R28" s="3">
        <v>15000</v>
      </c>
      <c r="T28" s="3">
        <v>3000</v>
      </c>
      <c r="X28">
        <f>Heure_Supp15(Tableau4[[#This Row],[Catégorie]],Tableau4[[#This Row],[H_supp_15]])</f>
        <v>0</v>
      </c>
      <c r="Y28">
        <f>Heure_Supp40(Tableau4[[#This Row],[Catégorie]],Tableau4[[#This Row],[H_supp_40]])</f>
        <v>0</v>
      </c>
      <c r="Z28">
        <f>Heure_Supp60(Tableau4[[#This Row],[Catégorie]],Tableau4[[#This Row],[H_supp_60]])</f>
        <v>0</v>
      </c>
      <c r="AA28">
        <f>Heure_Supp100(Tableau4[[#This Row],[Catégorie]],Tableau4[[#This Row],[H_supp_100]])</f>
        <v>0</v>
      </c>
    </row>
    <row r="29" spans="1:27" x14ac:dyDescent="0.25">
      <c r="A29">
        <v>28</v>
      </c>
      <c r="B29" t="s">
        <v>176</v>
      </c>
      <c r="C29" t="s">
        <v>177</v>
      </c>
      <c r="D29" t="s">
        <v>178</v>
      </c>
      <c r="E29" s="1">
        <v>29901</v>
      </c>
      <c r="F29" t="s">
        <v>179</v>
      </c>
      <c r="G29" s="3" t="s">
        <v>26</v>
      </c>
      <c r="H29" s="3" t="s">
        <v>23</v>
      </c>
      <c r="I29" t="s">
        <v>29</v>
      </c>
      <c r="J29" s="3">
        <v>0</v>
      </c>
      <c r="K29" s="3">
        <v>0</v>
      </c>
      <c r="M29" s="3">
        <v>8</v>
      </c>
      <c r="N29" s="3">
        <v>2</v>
      </c>
      <c r="P29" s="3">
        <v>5</v>
      </c>
      <c r="T29" s="3">
        <v>2500</v>
      </c>
      <c r="X29">
        <f>Heure_Supp15(Tableau4[[#This Row],[Catégorie]],Tableau4[[#This Row],[H_supp_15]])</f>
        <v>18584</v>
      </c>
      <c r="Y29">
        <f>Heure_Supp40(Tableau4[[#This Row],[Catégorie]],Tableau4[[#This Row],[H_supp_40]])</f>
        <v>5656</v>
      </c>
      <c r="Z29">
        <f>Heure_Supp60(Tableau4[[#This Row],[Catégorie]],Tableau4[[#This Row],[H_supp_60]])</f>
        <v>0</v>
      </c>
      <c r="AA29">
        <f>Heure_Supp100(Tableau4[[#This Row],[Catégorie]],Tableau4[[#This Row],[H_supp_100]])</f>
        <v>20200</v>
      </c>
    </row>
    <row r="30" spans="1:27" x14ac:dyDescent="0.25">
      <c r="A30">
        <v>29</v>
      </c>
      <c r="B30" t="s">
        <v>180</v>
      </c>
      <c r="C30" t="s">
        <v>181</v>
      </c>
      <c r="D30" t="s">
        <v>182</v>
      </c>
      <c r="E30" s="1">
        <v>31083</v>
      </c>
      <c r="F30" t="s">
        <v>183</v>
      </c>
      <c r="G30" s="3" t="s">
        <v>25</v>
      </c>
      <c r="H30" s="3" t="s">
        <v>22</v>
      </c>
      <c r="I30" t="s">
        <v>28</v>
      </c>
      <c r="J30" s="3">
        <v>0</v>
      </c>
      <c r="K30" s="3">
        <v>2</v>
      </c>
      <c r="Q30" s="3">
        <v>10000</v>
      </c>
      <c r="R30" s="3">
        <v>17500</v>
      </c>
      <c r="X30">
        <f>Heure_Supp15(Tableau4[[#This Row],[Catégorie]],Tableau4[[#This Row],[H_supp_15]])</f>
        <v>0</v>
      </c>
      <c r="Y30">
        <f>Heure_Supp40(Tableau4[[#This Row],[Catégorie]],Tableau4[[#This Row],[H_supp_40]])</f>
        <v>0</v>
      </c>
      <c r="Z30">
        <f>Heure_Supp60(Tableau4[[#This Row],[Catégorie]],Tableau4[[#This Row],[H_supp_60]])</f>
        <v>0</v>
      </c>
      <c r="AA30">
        <f>Heure_Supp100(Tableau4[[#This Row],[Catégorie]],Tableau4[[#This Row],[H_supp_100]])</f>
        <v>0</v>
      </c>
    </row>
    <row r="31" spans="1:27" x14ac:dyDescent="0.25">
      <c r="A31">
        <v>30</v>
      </c>
      <c r="B31" t="s">
        <v>184</v>
      </c>
      <c r="C31" t="s">
        <v>185</v>
      </c>
      <c r="D31" t="s">
        <v>186</v>
      </c>
      <c r="E31" t="s">
        <v>187</v>
      </c>
      <c r="F31" t="s">
        <v>188</v>
      </c>
      <c r="G31" s="3" t="s">
        <v>26</v>
      </c>
      <c r="H31" s="3" t="s">
        <v>22</v>
      </c>
      <c r="I31" t="s">
        <v>28</v>
      </c>
      <c r="J31" s="3">
        <v>3</v>
      </c>
      <c r="K31" s="3">
        <v>7</v>
      </c>
      <c r="Q31" s="3">
        <v>8000</v>
      </c>
      <c r="T31" s="3">
        <v>3000</v>
      </c>
      <c r="U31" s="3">
        <v>12500</v>
      </c>
      <c r="X31">
        <f>Heure_Supp15(Tableau4[[#This Row],[Catégorie]],Tableau4[[#This Row],[H_supp_15]])</f>
        <v>0</v>
      </c>
      <c r="Y31">
        <f>Heure_Supp40(Tableau4[[#This Row],[Catégorie]],Tableau4[[#This Row],[H_supp_40]])</f>
        <v>0</v>
      </c>
      <c r="Z31">
        <f>Heure_Supp60(Tableau4[[#This Row],[Catégorie]],Tableau4[[#This Row],[H_supp_60]])</f>
        <v>0</v>
      </c>
      <c r="AA31">
        <f>Heure_Supp100(Tableau4[[#This Row],[Catégorie]],Tableau4[[#This Row],[H_supp_100]])</f>
        <v>0</v>
      </c>
    </row>
    <row r="32" spans="1:27" x14ac:dyDescent="0.25">
      <c r="A32">
        <v>31</v>
      </c>
      <c r="B32" t="s">
        <v>189</v>
      </c>
      <c r="C32" t="s">
        <v>190</v>
      </c>
      <c r="D32" t="s">
        <v>191</v>
      </c>
      <c r="E32" t="s">
        <v>145</v>
      </c>
      <c r="F32" t="s">
        <v>192</v>
      </c>
      <c r="G32" s="3" t="s">
        <v>26</v>
      </c>
      <c r="H32" s="3" t="s">
        <v>22</v>
      </c>
      <c r="I32" t="s">
        <v>28</v>
      </c>
      <c r="J32" s="3">
        <v>1</v>
      </c>
      <c r="K32" s="3">
        <v>5</v>
      </c>
      <c r="R32" s="3">
        <v>10000</v>
      </c>
      <c r="S32" s="3">
        <v>20000</v>
      </c>
      <c r="X32">
        <f>Heure_Supp15(Tableau4[[#This Row],[Catégorie]],Tableau4[[#This Row],[H_supp_15]])</f>
        <v>0</v>
      </c>
      <c r="Y32">
        <f>Heure_Supp40(Tableau4[[#This Row],[Catégorie]],Tableau4[[#This Row],[H_supp_40]])</f>
        <v>0</v>
      </c>
      <c r="Z32">
        <f>Heure_Supp60(Tableau4[[#This Row],[Catégorie]],Tableau4[[#This Row],[H_supp_60]])</f>
        <v>0</v>
      </c>
      <c r="AA32">
        <f>Heure_Supp100(Tableau4[[#This Row],[Catégorie]],Tableau4[[#This Row],[H_supp_100]])</f>
        <v>0</v>
      </c>
    </row>
    <row r="33" spans="1:27" x14ac:dyDescent="0.25">
      <c r="A33">
        <v>32</v>
      </c>
      <c r="B33" t="s">
        <v>193</v>
      </c>
      <c r="C33" t="s">
        <v>194</v>
      </c>
      <c r="D33" t="s">
        <v>195</v>
      </c>
      <c r="E33" s="1">
        <v>31110</v>
      </c>
      <c r="F33" t="s">
        <v>196</v>
      </c>
      <c r="G33" s="3" t="s">
        <v>26</v>
      </c>
      <c r="H33" s="3" t="s">
        <v>23</v>
      </c>
      <c r="I33" t="s">
        <v>28</v>
      </c>
      <c r="J33" s="3">
        <v>1</v>
      </c>
      <c r="K33" s="3">
        <v>3</v>
      </c>
      <c r="P33" s="3">
        <v>3</v>
      </c>
      <c r="T33" s="3">
        <v>3000</v>
      </c>
      <c r="X33">
        <f>Heure_Supp15(Tableau4[[#This Row],[Catégorie]],Tableau4[[#This Row],[H_supp_15]])</f>
        <v>0</v>
      </c>
      <c r="Y33">
        <f>Heure_Supp40(Tableau4[[#This Row],[Catégorie]],Tableau4[[#This Row],[H_supp_40]])</f>
        <v>0</v>
      </c>
      <c r="Z33">
        <f>Heure_Supp60(Tableau4[[#This Row],[Catégorie]],Tableau4[[#This Row],[H_supp_60]])</f>
        <v>0</v>
      </c>
      <c r="AA33">
        <f>Heure_Supp100(Tableau4[[#This Row],[Catégorie]],Tableau4[[#This Row],[H_supp_100]])</f>
        <v>12120</v>
      </c>
    </row>
    <row r="34" spans="1:27" x14ac:dyDescent="0.25">
      <c r="A34">
        <v>33</v>
      </c>
      <c r="B34" t="s">
        <v>197</v>
      </c>
      <c r="C34" t="s">
        <v>198</v>
      </c>
      <c r="D34" t="s">
        <v>199</v>
      </c>
      <c r="E34" s="1">
        <v>28377</v>
      </c>
      <c r="F34" t="s">
        <v>200</v>
      </c>
      <c r="G34" s="3" t="s">
        <v>26</v>
      </c>
      <c r="H34" s="3" t="s">
        <v>23</v>
      </c>
      <c r="I34" t="s">
        <v>28</v>
      </c>
      <c r="J34" s="3">
        <v>1</v>
      </c>
      <c r="K34" s="3">
        <v>4</v>
      </c>
      <c r="P34" s="3">
        <v>6</v>
      </c>
      <c r="T34" s="3">
        <v>3000</v>
      </c>
      <c r="X34">
        <f>Heure_Supp15(Tableau4[[#This Row],[Catégorie]],Tableau4[[#This Row],[H_supp_15]])</f>
        <v>0</v>
      </c>
      <c r="Y34">
        <f>Heure_Supp40(Tableau4[[#This Row],[Catégorie]],Tableau4[[#This Row],[H_supp_40]])</f>
        <v>0</v>
      </c>
      <c r="Z34">
        <f>Heure_Supp60(Tableau4[[#This Row],[Catégorie]],Tableau4[[#This Row],[H_supp_60]])</f>
        <v>0</v>
      </c>
      <c r="AA34">
        <f>Heure_Supp100(Tableau4[[#This Row],[Catégorie]],Tableau4[[#This Row],[H_supp_100]])</f>
        <v>24240</v>
      </c>
    </row>
    <row r="35" spans="1:27" x14ac:dyDescent="0.25">
      <c r="A35">
        <v>34</v>
      </c>
      <c r="B35" t="s">
        <v>201</v>
      </c>
      <c r="C35" t="s">
        <v>202</v>
      </c>
      <c r="D35" t="s">
        <v>203</v>
      </c>
      <c r="E35" s="1">
        <v>27672</v>
      </c>
      <c r="F35" t="s">
        <v>204</v>
      </c>
      <c r="G35" s="3" t="s">
        <v>25</v>
      </c>
      <c r="H35" s="3" t="s">
        <v>23</v>
      </c>
      <c r="I35" t="s">
        <v>28</v>
      </c>
      <c r="J35" s="3">
        <v>0</v>
      </c>
      <c r="K35" s="3">
        <v>2</v>
      </c>
      <c r="M35" s="3">
        <v>8</v>
      </c>
      <c r="R35" s="3">
        <v>14500</v>
      </c>
      <c r="S35" s="3">
        <v>25000</v>
      </c>
      <c r="U35" s="3">
        <v>10000</v>
      </c>
      <c r="X35">
        <f>Heure_Supp15(Tableau4[[#This Row],[Catégorie]],Tableau4[[#This Row],[H_supp_15]])</f>
        <v>18584</v>
      </c>
      <c r="Y35">
        <f>Heure_Supp40(Tableau4[[#This Row],[Catégorie]],Tableau4[[#This Row],[H_supp_40]])</f>
        <v>0</v>
      </c>
      <c r="Z35">
        <f>Heure_Supp60(Tableau4[[#This Row],[Catégorie]],Tableau4[[#This Row],[H_supp_60]])</f>
        <v>0</v>
      </c>
      <c r="AA35">
        <f>Heure_Supp100(Tableau4[[#This Row],[Catégorie]],Tableau4[[#This Row],[H_supp_100]])</f>
        <v>0</v>
      </c>
    </row>
    <row r="36" spans="1:27" x14ac:dyDescent="0.25">
      <c r="A36">
        <v>35</v>
      </c>
      <c r="B36" t="s">
        <v>205</v>
      </c>
      <c r="C36" t="s">
        <v>206</v>
      </c>
      <c r="D36" t="s">
        <v>207</v>
      </c>
      <c r="E36" t="s">
        <v>208</v>
      </c>
      <c r="F36" t="s">
        <v>209</v>
      </c>
      <c r="G36" s="3" t="s">
        <v>26</v>
      </c>
      <c r="H36" s="3" t="s">
        <v>23</v>
      </c>
      <c r="I36" t="s">
        <v>28</v>
      </c>
      <c r="J36" s="3">
        <v>2</v>
      </c>
      <c r="K36" s="3">
        <v>4</v>
      </c>
      <c r="P36" s="3">
        <v>2</v>
      </c>
      <c r="X36">
        <f>Heure_Supp15(Tableau4[[#This Row],[Catégorie]],Tableau4[[#This Row],[H_supp_15]])</f>
        <v>0</v>
      </c>
      <c r="Y36">
        <f>Heure_Supp40(Tableau4[[#This Row],[Catégorie]],Tableau4[[#This Row],[H_supp_40]])</f>
        <v>0</v>
      </c>
      <c r="Z36">
        <f>Heure_Supp60(Tableau4[[#This Row],[Catégorie]],Tableau4[[#This Row],[H_supp_60]])</f>
        <v>0</v>
      </c>
      <c r="AA36">
        <f>Heure_Supp100(Tableau4[[#This Row],[Catégorie]],Tableau4[[#This Row],[H_supp_100]])</f>
        <v>8080</v>
      </c>
    </row>
    <row r="37" spans="1:27" x14ac:dyDescent="0.25">
      <c r="A37">
        <v>36</v>
      </c>
      <c r="B37" t="s">
        <v>210</v>
      </c>
      <c r="C37" t="s">
        <v>211</v>
      </c>
      <c r="D37" t="s">
        <v>212</v>
      </c>
      <c r="E37" t="s">
        <v>213</v>
      </c>
      <c r="F37" t="s">
        <v>214</v>
      </c>
      <c r="G37" s="3" t="s">
        <v>26</v>
      </c>
      <c r="H37" s="3" t="s">
        <v>23</v>
      </c>
      <c r="I37" t="s">
        <v>28</v>
      </c>
      <c r="J37" s="3">
        <v>1</v>
      </c>
      <c r="K37" s="3">
        <v>6</v>
      </c>
      <c r="P37" s="3">
        <v>4</v>
      </c>
      <c r="U37" s="3">
        <v>13000</v>
      </c>
      <c r="X37">
        <f>Heure_Supp15(Tableau4[[#This Row],[Catégorie]],Tableau4[[#This Row],[H_supp_15]])</f>
        <v>0</v>
      </c>
      <c r="Y37">
        <f>Heure_Supp40(Tableau4[[#This Row],[Catégorie]],Tableau4[[#This Row],[H_supp_40]])</f>
        <v>0</v>
      </c>
      <c r="Z37">
        <f>Heure_Supp60(Tableau4[[#This Row],[Catégorie]],Tableau4[[#This Row],[H_supp_60]])</f>
        <v>0</v>
      </c>
      <c r="AA37">
        <f>Heure_Supp100(Tableau4[[#This Row],[Catégorie]],Tableau4[[#This Row],[H_supp_100]])</f>
        <v>16160</v>
      </c>
    </row>
    <row r="38" spans="1:27" x14ac:dyDescent="0.25">
      <c r="A38">
        <v>37</v>
      </c>
      <c r="B38" t="s">
        <v>215</v>
      </c>
      <c r="C38" t="s">
        <v>195</v>
      </c>
      <c r="D38" t="s">
        <v>216</v>
      </c>
      <c r="E38" s="1">
        <v>28501</v>
      </c>
      <c r="F38" t="s">
        <v>107</v>
      </c>
      <c r="G38" s="3" t="s">
        <v>26</v>
      </c>
      <c r="H38" s="3" t="s">
        <v>24</v>
      </c>
      <c r="I38" t="s">
        <v>29</v>
      </c>
      <c r="J38" s="3">
        <v>0</v>
      </c>
      <c r="K38" s="3">
        <v>0</v>
      </c>
      <c r="L38" s="3">
        <v>10000</v>
      </c>
      <c r="T38" s="3">
        <v>3000</v>
      </c>
      <c r="X38">
        <f>Heure_Supp15(Tableau4[[#This Row],[Catégorie]],Tableau4[[#This Row],[H_supp_15]])</f>
        <v>0</v>
      </c>
      <c r="Y38">
        <f>Heure_Supp40(Tableau4[[#This Row],[Catégorie]],Tableau4[[#This Row],[H_supp_40]])</f>
        <v>0</v>
      </c>
      <c r="Z38">
        <f>Heure_Supp60(Tableau4[[#This Row],[Catégorie]],Tableau4[[#This Row],[H_supp_60]])</f>
        <v>0</v>
      </c>
      <c r="AA38">
        <f>Heure_Supp100(Tableau4[[#This Row],[Catégorie]],Tableau4[[#This Row],[H_supp_100]])</f>
        <v>0</v>
      </c>
    </row>
    <row r="39" spans="1:27" x14ac:dyDescent="0.25">
      <c r="A39">
        <v>38</v>
      </c>
      <c r="B39" t="s">
        <v>217</v>
      </c>
      <c r="C39" t="s">
        <v>218</v>
      </c>
      <c r="D39" t="s">
        <v>216</v>
      </c>
      <c r="E39" t="s">
        <v>219</v>
      </c>
      <c r="F39" t="s">
        <v>112</v>
      </c>
      <c r="G39" s="3" t="s">
        <v>26</v>
      </c>
      <c r="H39" s="3" t="s">
        <v>22</v>
      </c>
      <c r="I39" t="s">
        <v>29</v>
      </c>
      <c r="J39" s="3">
        <v>0</v>
      </c>
      <c r="K39" s="3">
        <v>0</v>
      </c>
      <c r="Q39" s="3">
        <v>10000</v>
      </c>
      <c r="R39" s="3">
        <v>15000</v>
      </c>
      <c r="U39" s="3">
        <v>10000</v>
      </c>
      <c r="X39">
        <f>Heure_Supp15(Tableau4[[#This Row],[Catégorie]],Tableau4[[#This Row],[H_supp_15]])</f>
        <v>0</v>
      </c>
      <c r="Y39">
        <f>Heure_Supp40(Tableau4[[#This Row],[Catégorie]],Tableau4[[#This Row],[H_supp_40]])</f>
        <v>0</v>
      </c>
      <c r="Z39">
        <f>Heure_Supp60(Tableau4[[#This Row],[Catégorie]],Tableau4[[#This Row],[H_supp_60]])</f>
        <v>0</v>
      </c>
      <c r="AA39">
        <f>Heure_Supp100(Tableau4[[#This Row],[Catégorie]],Tableau4[[#This Row],[H_supp_100]])</f>
        <v>0</v>
      </c>
    </row>
    <row r="40" spans="1:27" x14ac:dyDescent="0.25">
      <c r="A40">
        <v>39</v>
      </c>
      <c r="B40" t="s">
        <v>220</v>
      </c>
      <c r="C40" t="s">
        <v>221</v>
      </c>
      <c r="D40" t="s">
        <v>222</v>
      </c>
      <c r="E40" t="s">
        <v>223</v>
      </c>
      <c r="F40" t="s">
        <v>87</v>
      </c>
      <c r="G40" s="3" t="s">
        <v>25</v>
      </c>
      <c r="H40" s="3" t="s">
        <v>24</v>
      </c>
      <c r="I40" t="s">
        <v>29</v>
      </c>
      <c r="J40" s="3">
        <v>0</v>
      </c>
      <c r="K40" s="3">
        <v>0</v>
      </c>
      <c r="X40">
        <f>Heure_Supp15(Tableau4[[#This Row],[Catégorie]],Tableau4[[#This Row],[H_supp_15]])</f>
        <v>0</v>
      </c>
      <c r="Y40">
        <f>Heure_Supp40(Tableau4[[#This Row],[Catégorie]],Tableau4[[#This Row],[H_supp_40]])</f>
        <v>0</v>
      </c>
      <c r="Z40">
        <f>Heure_Supp60(Tableau4[[#This Row],[Catégorie]],Tableau4[[#This Row],[H_supp_60]])</f>
        <v>0</v>
      </c>
      <c r="AA40">
        <f>Heure_Supp100(Tableau4[[#This Row],[Catégorie]],Tableau4[[#This Row],[H_supp_100]])</f>
        <v>0</v>
      </c>
    </row>
    <row r="41" spans="1:27" x14ac:dyDescent="0.25">
      <c r="A41">
        <v>40</v>
      </c>
      <c r="B41" t="s">
        <v>224</v>
      </c>
      <c r="C41" t="s">
        <v>225</v>
      </c>
      <c r="D41" t="s">
        <v>222</v>
      </c>
      <c r="E41" t="s">
        <v>226</v>
      </c>
      <c r="F41" t="s">
        <v>50</v>
      </c>
      <c r="G41" s="3" t="s">
        <v>25</v>
      </c>
      <c r="H41" s="3" t="s">
        <v>24</v>
      </c>
      <c r="I41" t="s">
        <v>29</v>
      </c>
      <c r="J41" s="3">
        <v>0</v>
      </c>
      <c r="K41" s="3">
        <v>0</v>
      </c>
      <c r="M41" s="3">
        <v>8</v>
      </c>
      <c r="N41" s="3">
        <v>5</v>
      </c>
      <c r="T41" s="3">
        <v>5000</v>
      </c>
      <c r="X41">
        <f>Heure_Supp15(Tableau4[[#This Row],[Catégorie]],Tableau4[[#This Row],[H_supp_15]])</f>
        <v>12741.999999999998</v>
      </c>
      <c r="Y41">
        <f>Heure_Supp40(Tableau4[[#This Row],[Catégorie]],Tableau4[[#This Row],[H_supp_40]])</f>
        <v>9694.9999999999982</v>
      </c>
      <c r="Z41">
        <f>Heure_Supp60(Tableau4[[#This Row],[Catégorie]],Tableau4[[#This Row],[H_supp_60]])</f>
        <v>0</v>
      </c>
      <c r="AA41">
        <f>Heure_Supp100(Tableau4[[#This Row],[Catégorie]],Tableau4[[#This Row],[H_supp_100]])</f>
        <v>0</v>
      </c>
    </row>
    <row r="42" spans="1:27" x14ac:dyDescent="0.25">
      <c r="A42">
        <v>41</v>
      </c>
      <c r="B42" t="s">
        <v>227</v>
      </c>
      <c r="C42" t="s">
        <v>228</v>
      </c>
      <c r="D42" t="s">
        <v>229</v>
      </c>
      <c r="E42" t="s">
        <v>230</v>
      </c>
      <c r="F42" t="s">
        <v>35</v>
      </c>
      <c r="G42" s="3" t="s">
        <v>26</v>
      </c>
      <c r="H42" s="3" t="s">
        <v>22</v>
      </c>
      <c r="I42" t="s">
        <v>29</v>
      </c>
      <c r="J42" s="3">
        <v>0</v>
      </c>
      <c r="K42" s="3">
        <v>1</v>
      </c>
      <c r="R42" s="3">
        <v>55000</v>
      </c>
      <c r="T42" s="3">
        <v>2500</v>
      </c>
      <c r="V42" s="3">
        <v>30000</v>
      </c>
      <c r="X42">
        <f>Heure_Supp15(Tableau4[[#This Row],[Catégorie]],Tableau4[[#This Row],[H_supp_15]])</f>
        <v>0</v>
      </c>
      <c r="Y42">
        <f>Heure_Supp40(Tableau4[[#This Row],[Catégorie]],Tableau4[[#This Row],[H_supp_40]])</f>
        <v>0</v>
      </c>
      <c r="Z42">
        <f>Heure_Supp60(Tableau4[[#This Row],[Catégorie]],Tableau4[[#This Row],[H_supp_60]])</f>
        <v>0</v>
      </c>
      <c r="AA42">
        <f>Heure_Supp100(Tableau4[[#This Row],[Catégorie]],Tableau4[[#This Row],[H_supp_100]])</f>
        <v>0</v>
      </c>
    </row>
    <row r="43" spans="1:27" x14ac:dyDescent="0.25">
      <c r="A43">
        <v>42</v>
      </c>
      <c r="B43" t="s">
        <v>231</v>
      </c>
      <c r="C43" t="s">
        <v>232</v>
      </c>
      <c r="D43" t="s">
        <v>233</v>
      </c>
      <c r="E43" t="s">
        <v>234</v>
      </c>
      <c r="F43" t="s">
        <v>30</v>
      </c>
      <c r="G43" s="3" t="s">
        <v>26</v>
      </c>
      <c r="H43" s="3" t="s">
        <v>24</v>
      </c>
      <c r="I43" t="s">
        <v>28</v>
      </c>
      <c r="J43" s="3">
        <v>2</v>
      </c>
      <c r="K43" s="3">
        <v>5</v>
      </c>
      <c r="U43" s="3">
        <v>10000</v>
      </c>
      <c r="X43">
        <f>Heure_Supp15(Tableau4[[#This Row],[Catégorie]],Tableau4[[#This Row],[H_supp_15]])</f>
        <v>0</v>
      </c>
      <c r="Y43">
        <f>Heure_Supp40(Tableau4[[#This Row],[Catégorie]],Tableau4[[#This Row],[H_supp_40]])</f>
        <v>0</v>
      </c>
      <c r="Z43">
        <f>Heure_Supp60(Tableau4[[#This Row],[Catégorie]],Tableau4[[#This Row],[H_supp_60]])</f>
        <v>0</v>
      </c>
      <c r="AA43">
        <f>Heure_Supp100(Tableau4[[#This Row],[Catégorie]],Tableau4[[#This Row],[H_supp_100]])</f>
        <v>0</v>
      </c>
    </row>
    <row r="44" spans="1:27" x14ac:dyDescent="0.25">
      <c r="A44">
        <v>43</v>
      </c>
      <c r="B44" t="s">
        <v>235</v>
      </c>
      <c r="C44" t="s">
        <v>236</v>
      </c>
      <c r="D44" t="s">
        <v>237</v>
      </c>
      <c r="E44" t="s">
        <v>238</v>
      </c>
      <c r="F44" t="s">
        <v>239</v>
      </c>
      <c r="G44" s="3" t="s">
        <v>26</v>
      </c>
      <c r="H44" s="3" t="s">
        <v>24</v>
      </c>
      <c r="I44" t="s">
        <v>28</v>
      </c>
      <c r="J44" s="3">
        <v>1</v>
      </c>
      <c r="K44" s="3">
        <v>1</v>
      </c>
      <c r="M44" s="3">
        <v>8</v>
      </c>
      <c r="N44" s="3">
        <v>5</v>
      </c>
      <c r="P44" s="3">
        <v>3</v>
      </c>
      <c r="S44" s="3">
        <v>20000</v>
      </c>
      <c r="X44">
        <f>Heure_Supp15(Tableau4[[#This Row],[Catégorie]],Tableau4[[#This Row],[H_supp_15]])</f>
        <v>12741.999999999998</v>
      </c>
      <c r="Y44">
        <f>Heure_Supp40(Tableau4[[#This Row],[Catégorie]],Tableau4[[#This Row],[H_supp_40]])</f>
        <v>9694.9999999999982</v>
      </c>
      <c r="Z44">
        <f>Heure_Supp60(Tableau4[[#This Row],[Catégorie]],Tableau4[[#This Row],[H_supp_60]])</f>
        <v>0</v>
      </c>
      <c r="AA44">
        <f>Heure_Supp100(Tableau4[[#This Row],[Catégorie]],Tableau4[[#This Row],[H_supp_100]])</f>
        <v>8310</v>
      </c>
    </row>
    <row r="45" spans="1:27" x14ac:dyDescent="0.25">
      <c r="A45">
        <v>44</v>
      </c>
      <c r="B45" t="s">
        <v>240</v>
      </c>
      <c r="C45" t="s">
        <v>241</v>
      </c>
      <c r="D45" t="s">
        <v>242</v>
      </c>
      <c r="E45" s="1">
        <v>27974</v>
      </c>
      <c r="F45" t="s">
        <v>196</v>
      </c>
      <c r="G45" s="3" t="s">
        <v>26</v>
      </c>
      <c r="H45" s="3" t="s">
        <v>23</v>
      </c>
      <c r="I45" t="s">
        <v>28</v>
      </c>
      <c r="J45" s="3">
        <v>1</v>
      </c>
      <c r="K45" s="3">
        <v>1</v>
      </c>
      <c r="P45" s="3">
        <v>2</v>
      </c>
      <c r="Q45" s="3">
        <v>8500</v>
      </c>
      <c r="T45" s="3">
        <v>2500</v>
      </c>
      <c r="X45">
        <f>Heure_Supp15(Tableau4[[#This Row],[Catégorie]],Tableau4[[#This Row],[H_supp_15]])</f>
        <v>0</v>
      </c>
      <c r="Y45">
        <f>Heure_Supp40(Tableau4[[#This Row],[Catégorie]],Tableau4[[#This Row],[H_supp_40]])</f>
        <v>0</v>
      </c>
      <c r="Z45">
        <f>Heure_Supp60(Tableau4[[#This Row],[Catégorie]],Tableau4[[#This Row],[H_supp_60]])</f>
        <v>0</v>
      </c>
      <c r="AA45">
        <f>Heure_Supp100(Tableau4[[#This Row],[Catégorie]],Tableau4[[#This Row],[H_supp_100]])</f>
        <v>8080</v>
      </c>
    </row>
    <row r="46" spans="1:27" x14ac:dyDescent="0.25">
      <c r="A46">
        <v>45</v>
      </c>
      <c r="B46" t="s">
        <v>243</v>
      </c>
      <c r="C46" t="s">
        <v>244</v>
      </c>
      <c r="D46" t="s">
        <v>245</v>
      </c>
      <c r="E46" t="s">
        <v>246</v>
      </c>
      <c r="F46" t="s">
        <v>247</v>
      </c>
      <c r="G46" s="3" t="s">
        <v>25</v>
      </c>
      <c r="H46" s="3" t="s">
        <v>23</v>
      </c>
      <c r="I46" t="s">
        <v>28</v>
      </c>
      <c r="J46" s="3">
        <v>0</v>
      </c>
      <c r="K46" s="3">
        <v>2</v>
      </c>
      <c r="L46" s="3">
        <v>15000</v>
      </c>
      <c r="R46" s="3">
        <v>31500</v>
      </c>
      <c r="X46">
        <f>Heure_Supp15(Tableau4[[#This Row],[Catégorie]],Tableau4[[#This Row],[H_supp_15]])</f>
        <v>0</v>
      </c>
      <c r="Y46">
        <f>Heure_Supp40(Tableau4[[#This Row],[Catégorie]],Tableau4[[#This Row],[H_supp_40]])</f>
        <v>0</v>
      </c>
      <c r="Z46">
        <f>Heure_Supp60(Tableau4[[#This Row],[Catégorie]],Tableau4[[#This Row],[H_supp_60]])</f>
        <v>0</v>
      </c>
      <c r="AA46">
        <f>Heure_Supp100(Tableau4[[#This Row],[Catégorie]],Tableau4[[#This Row],[H_supp_100]])</f>
        <v>0</v>
      </c>
    </row>
    <row r="47" spans="1:27" x14ac:dyDescent="0.25">
      <c r="A47">
        <v>46</v>
      </c>
      <c r="B47" t="s">
        <v>248</v>
      </c>
      <c r="C47" t="s">
        <v>249</v>
      </c>
      <c r="D47" t="s">
        <v>250</v>
      </c>
      <c r="E47" t="s">
        <v>251</v>
      </c>
      <c r="F47" t="s">
        <v>129</v>
      </c>
      <c r="G47" s="3" t="s">
        <v>26</v>
      </c>
      <c r="H47" s="3" t="s">
        <v>23</v>
      </c>
      <c r="I47" t="s">
        <v>28</v>
      </c>
      <c r="J47" s="3">
        <v>1</v>
      </c>
      <c r="K47" s="3">
        <v>1</v>
      </c>
      <c r="M47" s="3">
        <v>8</v>
      </c>
      <c r="N47" s="3">
        <v>5</v>
      </c>
      <c r="P47" s="3">
        <v>4</v>
      </c>
      <c r="U47" s="3">
        <v>15000</v>
      </c>
      <c r="X47">
        <f>Heure_Supp15(Tableau4[[#This Row],[Catégorie]],Tableau4[[#This Row],[H_supp_15]])</f>
        <v>18584</v>
      </c>
      <c r="Y47">
        <f>Heure_Supp40(Tableau4[[#This Row],[Catégorie]],Tableau4[[#This Row],[H_supp_40]])</f>
        <v>14140</v>
      </c>
      <c r="Z47">
        <f>Heure_Supp60(Tableau4[[#This Row],[Catégorie]],Tableau4[[#This Row],[H_supp_60]])</f>
        <v>0</v>
      </c>
      <c r="AA47">
        <f>Heure_Supp100(Tableau4[[#This Row],[Catégorie]],Tableau4[[#This Row],[H_supp_100]])</f>
        <v>16160</v>
      </c>
    </row>
    <row r="48" spans="1:27" x14ac:dyDescent="0.25">
      <c r="A48">
        <v>47</v>
      </c>
      <c r="B48" t="s">
        <v>252</v>
      </c>
      <c r="C48" t="s">
        <v>253</v>
      </c>
      <c r="D48" t="s">
        <v>254</v>
      </c>
      <c r="E48" t="s">
        <v>255</v>
      </c>
      <c r="F48" t="s">
        <v>153</v>
      </c>
      <c r="G48" s="3" t="s">
        <v>26</v>
      </c>
      <c r="H48" s="3" t="s">
        <v>23</v>
      </c>
      <c r="I48" t="s">
        <v>28</v>
      </c>
      <c r="J48" s="3">
        <v>2</v>
      </c>
      <c r="K48" s="3">
        <v>5</v>
      </c>
      <c r="M48" s="3">
        <v>8</v>
      </c>
      <c r="O48" s="3">
        <v>3</v>
      </c>
      <c r="R48" s="3">
        <v>25000</v>
      </c>
      <c r="X48">
        <f>Heure_Supp15(Tableau4[[#This Row],[Catégorie]],Tableau4[[#This Row],[H_supp_15]])</f>
        <v>18584</v>
      </c>
      <c r="Y48">
        <f>Heure_Supp40(Tableau4[[#This Row],[Catégorie]],Tableau4[[#This Row],[H_supp_40]])</f>
        <v>0</v>
      </c>
      <c r="Z48">
        <f>Heure_Supp60(Tableau4[[#This Row],[Catégorie]],Tableau4[[#This Row],[H_supp_60]])</f>
        <v>9696</v>
      </c>
      <c r="AA48">
        <f>Heure_Supp100(Tableau4[[#This Row],[Catégorie]],Tableau4[[#This Row],[H_supp_100]])</f>
        <v>0</v>
      </c>
    </row>
    <row r="49" spans="1:27" x14ac:dyDescent="0.25">
      <c r="A49">
        <v>48</v>
      </c>
      <c r="B49" t="s">
        <v>256</v>
      </c>
      <c r="C49" t="s">
        <v>257</v>
      </c>
      <c r="D49" t="s">
        <v>254</v>
      </c>
      <c r="E49" t="s">
        <v>258</v>
      </c>
      <c r="F49" t="s">
        <v>175</v>
      </c>
      <c r="G49" s="3" t="s">
        <v>25</v>
      </c>
      <c r="H49" s="3" t="s">
        <v>23</v>
      </c>
      <c r="I49" t="s">
        <v>28</v>
      </c>
      <c r="J49" s="3">
        <v>0</v>
      </c>
      <c r="K49" s="3">
        <v>2</v>
      </c>
      <c r="L49" s="3">
        <v>9500</v>
      </c>
      <c r="Q49" s="3">
        <v>5000</v>
      </c>
      <c r="S49" s="3">
        <v>25000</v>
      </c>
      <c r="T49" s="3">
        <v>3000</v>
      </c>
      <c r="U49" s="3">
        <v>14500</v>
      </c>
      <c r="X49">
        <f>Heure_Supp15(Tableau4[[#This Row],[Catégorie]],Tableau4[[#This Row],[H_supp_15]])</f>
        <v>0</v>
      </c>
      <c r="Y49">
        <f>Heure_Supp40(Tableau4[[#This Row],[Catégorie]],Tableau4[[#This Row],[H_supp_40]])</f>
        <v>0</v>
      </c>
      <c r="Z49">
        <f>Heure_Supp60(Tableau4[[#This Row],[Catégorie]],Tableau4[[#This Row],[H_supp_60]])</f>
        <v>0</v>
      </c>
      <c r="AA49">
        <f>Heure_Supp100(Tableau4[[#This Row],[Catégorie]],Tableau4[[#This Row],[H_supp_100]])</f>
        <v>0</v>
      </c>
    </row>
    <row r="50" spans="1:27" x14ac:dyDescent="0.25">
      <c r="A50">
        <v>49</v>
      </c>
      <c r="B50" t="s">
        <v>259</v>
      </c>
      <c r="C50" t="s">
        <v>260</v>
      </c>
      <c r="D50" t="s">
        <v>261</v>
      </c>
      <c r="E50" t="s">
        <v>262</v>
      </c>
      <c r="F50" t="s">
        <v>35</v>
      </c>
      <c r="G50" s="3" t="s">
        <v>26</v>
      </c>
      <c r="H50" s="3" t="s">
        <v>23</v>
      </c>
      <c r="I50" t="s">
        <v>28</v>
      </c>
      <c r="J50" s="3">
        <v>2</v>
      </c>
      <c r="K50" s="3">
        <v>5</v>
      </c>
      <c r="M50" s="3">
        <v>8</v>
      </c>
      <c r="X50">
        <f>Heure_Supp15(Tableau4[[#This Row],[Catégorie]],Tableau4[[#This Row],[H_supp_15]])</f>
        <v>18584</v>
      </c>
      <c r="Y50">
        <f>Heure_Supp40(Tableau4[[#This Row],[Catégorie]],Tableau4[[#This Row],[H_supp_40]])</f>
        <v>0</v>
      </c>
      <c r="Z50">
        <f>Heure_Supp60(Tableau4[[#This Row],[Catégorie]],Tableau4[[#This Row],[H_supp_60]])</f>
        <v>0</v>
      </c>
      <c r="AA50">
        <f>Heure_Supp100(Tableau4[[#This Row],[Catégorie]],Tableau4[[#This Row],[H_supp_100]])</f>
        <v>0</v>
      </c>
    </row>
    <row r="51" spans="1:27" x14ac:dyDescent="0.25">
      <c r="A51">
        <v>50</v>
      </c>
      <c r="B51" t="s">
        <v>263</v>
      </c>
      <c r="C51" t="s">
        <v>264</v>
      </c>
      <c r="D51" t="s">
        <v>265</v>
      </c>
      <c r="E51" t="s">
        <v>266</v>
      </c>
      <c r="F51" t="s">
        <v>150</v>
      </c>
      <c r="G51" s="3" t="s">
        <v>26</v>
      </c>
      <c r="H51" s="3" t="s">
        <v>23</v>
      </c>
      <c r="I51" t="s">
        <v>29</v>
      </c>
      <c r="J51" s="3">
        <v>0</v>
      </c>
      <c r="K51" s="3">
        <v>0</v>
      </c>
      <c r="M51" s="3">
        <v>8</v>
      </c>
      <c r="N51" s="3">
        <v>2</v>
      </c>
      <c r="O51" s="3">
        <v>3</v>
      </c>
      <c r="Q51" s="3">
        <v>7000</v>
      </c>
      <c r="T51" s="3">
        <v>3000</v>
      </c>
      <c r="U51" s="3">
        <v>13500</v>
      </c>
      <c r="X51">
        <f>Heure_Supp15(Tableau4[[#This Row],[Catégorie]],Tableau4[[#This Row],[H_supp_15]])</f>
        <v>18584</v>
      </c>
      <c r="Y51">
        <f>Heure_Supp40(Tableau4[[#This Row],[Catégorie]],Tableau4[[#This Row],[H_supp_40]])</f>
        <v>5656</v>
      </c>
      <c r="Z51">
        <f>Heure_Supp60(Tableau4[[#This Row],[Catégorie]],Tableau4[[#This Row],[H_supp_60]])</f>
        <v>9696</v>
      </c>
      <c r="AA51">
        <f>Heure_Supp100(Tableau4[[#This Row],[Catégorie]],Tableau4[[#This Row],[H_supp_100]])</f>
        <v>0</v>
      </c>
    </row>
    <row r="52" spans="1:27" x14ac:dyDescent="0.25">
      <c r="J52" s="3"/>
    </row>
    <row r="53" spans="1:27" x14ac:dyDescent="0.25">
      <c r="J53" s="3"/>
    </row>
    <row r="54" spans="1:27" x14ac:dyDescent="0.25">
      <c r="J54" s="3"/>
    </row>
    <row r="55" spans="1:27" x14ac:dyDescent="0.25">
      <c r="J55" s="3"/>
    </row>
  </sheetData>
  <conditionalFormatting sqref="H2:H54">
    <cfRule type="containsText" dxfId="59" priority="1" operator="containsText" text="A">
      <formula>NOT(ISERROR(SEARCH("A",H2)))</formula>
    </cfRule>
    <cfRule type="containsText" dxfId="58" priority="2" operator="containsText" text="C">
      <formula>NOT(ISERROR(SEARCH("C",H2)))</formula>
    </cfRule>
    <cfRule type="containsText" dxfId="57" priority="3" operator="containsText" text="B">
      <formula>NOT(ISERROR(SEARCH("B",H2)))</formula>
    </cfRule>
    <cfRule type="containsText" dxfId="56" priority="4" operator="containsText" text="C">
      <formula>NOT(ISERROR(SEARCH("C",H2)))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5" tint="-0.499984740745262"/>
  </sheetPr>
  <dimension ref="A1:T53"/>
  <sheetViews>
    <sheetView workbookViewId="0">
      <selection activeCell="T3" sqref="T3"/>
    </sheetView>
  </sheetViews>
  <sheetFormatPr baseColWidth="10" defaultRowHeight="15" x14ac:dyDescent="0.25"/>
  <cols>
    <col min="1" max="2" width="19.28515625" customWidth="1"/>
    <col min="4" max="4" width="15.7109375" customWidth="1"/>
    <col min="5" max="5" width="18.5703125" customWidth="1"/>
    <col min="6" max="6" width="18.140625" customWidth="1"/>
    <col min="7" max="7" width="16.5703125" customWidth="1"/>
    <col min="8" max="8" width="14.7109375" customWidth="1"/>
    <col min="9" max="9" width="12.5703125" customWidth="1"/>
    <col min="10" max="11" width="17" customWidth="1"/>
    <col min="12" max="12" width="15.5703125" customWidth="1"/>
    <col min="13" max="13" width="13.28515625" customWidth="1"/>
    <col min="14" max="14" width="19.85546875" customWidth="1"/>
    <col min="15" max="15" width="11.5703125" bestFit="1" customWidth="1"/>
    <col min="16" max="16" width="20.28515625" customWidth="1"/>
    <col min="17" max="17" width="14.42578125" customWidth="1"/>
    <col min="18" max="18" width="17.85546875" customWidth="1"/>
    <col min="19" max="19" width="13" customWidth="1"/>
    <col min="20" max="20" width="18.28515625" customWidth="1"/>
  </cols>
  <sheetData>
    <row r="1" spans="1:20" x14ac:dyDescent="0.25">
      <c r="A1" t="s">
        <v>1</v>
      </c>
      <c r="B1" t="s">
        <v>287</v>
      </c>
      <c r="C1" t="s">
        <v>3</v>
      </c>
      <c r="D1" s="50" t="s">
        <v>56</v>
      </c>
      <c r="E1" s="50" t="s">
        <v>61</v>
      </c>
      <c r="F1" s="50" t="s">
        <v>62</v>
      </c>
      <c r="G1" s="50" t="s">
        <v>63</v>
      </c>
      <c r="H1" s="50" t="s">
        <v>64</v>
      </c>
      <c r="I1" s="52" t="s">
        <v>19</v>
      </c>
      <c r="J1" s="50" t="s">
        <v>267</v>
      </c>
      <c r="K1" s="50" t="s">
        <v>291</v>
      </c>
      <c r="L1" s="52" t="s">
        <v>20</v>
      </c>
      <c r="M1" s="52" t="s">
        <v>21</v>
      </c>
      <c r="N1" s="50" t="s">
        <v>292</v>
      </c>
      <c r="O1" s="50" t="s">
        <v>72</v>
      </c>
      <c r="P1" s="50" t="s">
        <v>73</v>
      </c>
      <c r="Q1" s="50" t="s">
        <v>293</v>
      </c>
      <c r="R1" s="50" t="s">
        <v>294</v>
      </c>
      <c r="S1" s="52" t="s">
        <v>18</v>
      </c>
      <c r="T1" s="50" t="s">
        <v>295</v>
      </c>
    </row>
    <row r="2" spans="1:20" x14ac:dyDescent="0.25">
      <c r="A2" s="2" t="s">
        <v>32</v>
      </c>
      <c r="B2" s="2" t="s">
        <v>33</v>
      </c>
      <c r="C2" s="2" t="s">
        <v>34</v>
      </c>
      <c r="D2" s="50">
        <f>salaire_base(données_salaire!H2)</f>
        <v>350126.60000000003</v>
      </c>
      <c r="E2" s="50">
        <f>salaire_brut_social(D2,données_salaire!X2,données_salaire!Y2,données_salaire!Z2,données_salaire!AA2,données_salaire!L2,données_salaire!Q2,données_salaire!S2)</f>
        <v>383786.60000000003</v>
      </c>
      <c r="F2" s="50">
        <f>salaire_brut_fiscal(E2,données_salaire!R2)</f>
        <v>383786.60000000003</v>
      </c>
      <c r="G2" s="50">
        <f>Regime_General(E2)</f>
        <v>20160</v>
      </c>
      <c r="H2" s="50">
        <f t="shared" ref="H2:H33" si="0">regime_cadre(E2)</f>
        <v>9210.8784000000014</v>
      </c>
      <c r="I2" s="52">
        <v>4500</v>
      </c>
      <c r="J2" s="50">
        <f t="shared" ref="J2:J33" si="1">revenu_annuel(F2)</f>
        <v>4605439.2</v>
      </c>
      <c r="K2" s="50">
        <f t="shared" ref="K2:K33" si="2">abattement(J2)</f>
        <v>900000</v>
      </c>
      <c r="L2" s="52">
        <v>25000</v>
      </c>
      <c r="M2" s="52"/>
      <c r="N2" s="50">
        <f t="shared" ref="N2:N33" si="3">revenu_annuel_imposable(J2,K2)</f>
        <v>3705439.2</v>
      </c>
      <c r="O2" s="50">
        <f>TRIMF(données_salaire!J2,LIVRE_Paie!F2)</f>
        <v>1800</v>
      </c>
      <c r="P2" s="50">
        <f>Impot_Revenu(N2,données_salaire!I2,données_salaire!J2,données_salaire!K2)</f>
        <v>62500</v>
      </c>
      <c r="Q2" s="50">
        <f>Retenus(G2,H2,données_salaire!T2,LIVRE_Paie!O2,LIVRE_Paie!P2,données_salaire!U2,données_salaire!V2)</f>
        <v>123170.8784</v>
      </c>
      <c r="R2" s="50">
        <f t="shared" ref="R2:R33" si="4">Salaire_Net(F2,Q2)</f>
        <v>260615.72160000005</v>
      </c>
      <c r="S2" s="52">
        <v>17500</v>
      </c>
      <c r="T2" s="50">
        <f>Net_a_payer(R2,données_salaire!S2)</f>
        <v>278116</v>
      </c>
    </row>
    <row r="3" spans="1:20" x14ac:dyDescent="0.25">
      <c r="A3" s="2" t="s">
        <v>36</v>
      </c>
      <c r="B3" s="2" t="s">
        <v>37</v>
      </c>
      <c r="C3" s="2" t="s">
        <v>38</v>
      </c>
      <c r="D3" s="50">
        <f>salaire_base(données_salaire!H3)</f>
        <v>350126.60000000003</v>
      </c>
      <c r="E3" s="50">
        <f>salaire_brut_social(D3,données_salaire!X3,données_salaire!Y3,données_salaire!Z3,données_salaire!AA3,données_salaire!L3,données_salaire!Q3,données_salaire!S3)</f>
        <v>419642.60000000003</v>
      </c>
      <c r="F3" s="50">
        <f>salaire_brut_fiscal(E3,données_salaire!R3)</f>
        <v>419642.60000000003</v>
      </c>
      <c r="G3" s="50">
        <f t="shared" ref="G3:G51" si="5">Regime_General(E3)</f>
        <v>20160</v>
      </c>
      <c r="H3" s="50">
        <f t="shared" si="0"/>
        <v>10071.422400000001</v>
      </c>
      <c r="I3" s="52"/>
      <c r="J3" s="50">
        <f t="shared" si="1"/>
        <v>5035711.2</v>
      </c>
      <c r="K3" s="50">
        <f t="shared" si="2"/>
        <v>900000</v>
      </c>
      <c r="L3" s="52"/>
      <c r="M3" s="52"/>
      <c r="N3" s="50">
        <f t="shared" si="3"/>
        <v>4135711.2</v>
      </c>
      <c r="O3" s="50">
        <f>TRIMF(données_salaire!J3,LIVRE_Paie!F3)</f>
        <v>900</v>
      </c>
      <c r="P3" s="50">
        <f>Impot_Revenu(N3,données_salaire!I3,données_salaire!J3,données_salaire!K3)</f>
        <v>116666.66666666667</v>
      </c>
      <c r="Q3" s="50">
        <f>Retenus(G3,H3,données_salaire!T3,LIVRE_Paie!O3,LIVRE_Paie!P3,données_salaire!U3,données_salaire!V3)</f>
        <v>147798.08906666667</v>
      </c>
      <c r="R3" s="50">
        <f t="shared" si="4"/>
        <v>271844.51093333337</v>
      </c>
      <c r="S3" s="52">
        <v>12500</v>
      </c>
      <c r="T3" s="50">
        <f>Net_a_payer(R3,données_salaire!S3)</f>
        <v>284345</v>
      </c>
    </row>
    <row r="4" spans="1:20" x14ac:dyDescent="0.25">
      <c r="A4" s="2" t="s">
        <v>41</v>
      </c>
      <c r="B4" s="2" t="s">
        <v>42</v>
      </c>
      <c r="C4" s="2" t="s">
        <v>43</v>
      </c>
      <c r="D4" s="50">
        <f>salaire_base(données_salaire!H4)</f>
        <v>350126.60000000003</v>
      </c>
      <c r="E4" s="50">
        <f>salaire_brut_social(D4,données_salaire!X4,données_salaire!Y4,données_salaire!Z4,données_salaire!AA4,données_salaire!L4,données_salaire!Q4,données_salaire!S4)</f>
        <v>397598.60000000003</v>
      </c>
      <c r="F4" s="50">
        <f>salaire_brut_fiscal(E4,données_salaire!R4)</f>
        <v>397598.60000000003</v>
      </c>
      <c r="G4" s="50">
        <f t="shared" si="5"/>
        <v>20160</v>
      </c>
      <c r="H4" s="50">
        <f t="shared" si="0"/>
        <v>9542.3664000000008</v>
      </c>
      <c r="I4" s="52">
        <v>5000</v>
      </c>
      <c r="J4" s="50">
        <f t="shared" si="1"/>
        <v>4771183.2</v>
      </c>
      <c r="K4" s="50">
        <f t="shared" si="2"/>
        <v>900000</v>
      </c>
      <c r="L4" s="52"/>
      <c r="M4" s="52"/>
      <c r="N4" s="50">
        <f t="shared" si="3"/>
        <v>3871183.2</v>
      </c>
      <c r="O4" s="50">
        <f>TRIMF(données_salaire!J4,LIVRE_Paie!F4)</f>
        <v>2700</v>
      </c>
      <c r="P4" s="50">
        <f>Impot_Revenu(N4,données_salaire!I4,données_salaire!J4,données_salaire!K4)</f>
        <v>62500</v>
      </c>
      <c r="Q4" s="50">
        <f>Retenus(G4,H4,données_salaire!T4,LIVRE_Paie!O4,LIVRE_Paie!P4,données_salaire!U4,données_salaire!V4)</f>
        <v>99902.366399999999</v>
      </c>
      <c r="R4" s="50">
        <f t="shared" si="4"/>
        <v>297696.23360000004</v>
      </c>
      <c r="S4" s="52">
        <v>20000</v>
      </c>
      <c r="T4" s="50">
        <f>Net_a_payer(R4,données_salaire!S4)</f>
        <v>317696</v>
      </c>
    </row>
    <row r="5" spans="1:20" x14ac:dyDescent="0.25">
      <c r="A5" s="2" t="s">
        <v>46</v>
      </c>
      <c r="B5" s="2" t="s">
        <v>47</v>
      </c>
      <c r="C5" s="2" t="s">
        <v>48</v>
      </c>
      <c r="D5" s="50">
        <f>salaire_base(données_salaire!H5)</f>
        <v>240062.05000000002</v>
      </c>
      <c r="E5" s="50">
        <f>salaire_brut_social(D5,données_salaire!X5,données_salaire!Y5,données_salaire!Z5,données_salaire!AA5,données_salaire!L5,données_salaire!Q5,données_salaire!S5)</f>
        <v>270560.05000000005</v>
      </c>
      <c r="F5" s="50">
        <f>salaire_brut_fiscal(E5,données_salaire!R5)</f>
        <v>270560.05000000005</v>
      </c>
      <c r="G5" s="50">
        <f t="shared" si="5"/>
        <v>15151.362800000003</v>
      </c>
      <c r="H5" s="50">
        <f t="shared" si="0"/>
        <v>6493.4412000000011</v>
      </c>
      <c r="I5" s="52"/>
      <c r="J5" s="50">
        <f t="shared" si="1"/>
        <v>3246720.6000000006</v>
      </c>
      <c r="K5" s="50">
        <f t="shared" si="2"/>
        <v>900000</v>
      </c>
      <c r="L5" s="52"/>
      <c r="M5" s="52"/>
      <c r="N5" s="50">
        <f t="shared" si="3"/>
        <v>2346720.6000000006</v>
      </c>
      <c r="O5" s="50">
        <f>TRIMF(données_salaire!J5,LIVRE_Paie!F5)</f>
        <v>1800</v>
      </c>
      <c r="P5" s="50">
        <f>Impot_Revenu(N5,données_salaire!I5,données_salaire!J5,données_salaire!K5)</f>
        <v>62500</v>
      </c>
      <c r="Q5" s="50">
        <f>Retenus(G5,H5,données_salaire!T5,LIVRE_Paie!O5,LIVRE_Paie!P5,données_salaire!U5,données_salaire!V5)</f>
        <v>85944.804000000004</v>
      </c>
      <c r="R5" s="50">
        <f t="shared" si="4"/>
        <v>184615.24600000004</v>
      </c>
      <c r="S5" s="52"/>
      <c r="T5" s="50">
        <f>Net_a_payer(R5,données_salaire!S5)</f>
        <v>184615</v>
      </c>
    </row>
    <row r="6" spans="1:20" x14ac:dyDescent="0.25">
      <c r="A6" s="2" t="s">
        <v>51</v>
      </c>
      <c r="B6" s="2" t="s">
        <v>52</v>
      </c>
      <c r="C6" s="2" t="s">
        <v>53</v>
      </c>
      <c r="D6" s="50">
        <f>salaire_base(données_salaire!H6)</f>
        <v>240062.05000000002</v>
      </c>
      <c r="E6" s="50">
        <f>salaire_brut_social(D6,données_salaire!X6,données_salaire!Y6,données_salaire!Z6,données_salaire!AA6,données_salaire!L6,données_salaire!Q6,données_salaire!S6)</f>
        <v>289964.05000000005</v>
      </c>
      <c r="F6" s="50">
        <f>salaire_brut_fiscal(E6,données_salaire!R6)</f>
        <v>324964.05000000005</v>
      </c>
      <c r="G6" s="50">
        <f t="shared" si="5"/>
        <v>16237.986800000002</v>
      </c>
      <c r="H6" s="50">
        <f t="shared" si="0"/>
        <v>6959.137200000001</v>
      </c>
      <c r="I6" s="52">
        <v>3500</v>
      </c>
      <c r="J6" s="50">
        <f t="shared" si="1"/>
        <v>3899568.6000000006</v>
      </c>
      <c r="K6" s="50">
        <f t="shared" si="2"/>
        <v>900000</v>
      </c>
      <c r="L6" s="52">
        <v>30000</v>
      </c>
      <c r="M6" s="52">
        <v>20000</v>
      </c>
      <c r="N6" s="50">
        <f t="shared" si="3"/>
        <v>2999568.6000000006</v>
      </c>
      <c r="O6" s="50">
        <f>TRIMF(données_salaire!J6,LIVRE_Paie!F6)</f>
        <v>900</v>
      </c>
      <c r="P6" s="50">
        <f>Impot_Revenu(N6,données_salaire!I6,données_salaire!J6,données_salaire!K6)</f>
        <v>62500</v>
      </c>
      <c r="Q6" s="50">
        <f>Retenus(G6,H6,données_salaire!T6,LIVRE_Paie!O6,LIVRE_Paie!P6,données_salaire!U6,données_salaire!V6)</f>
        <v>140097.12400000001</v>
      </c>
      <c r="R6" s="50">
        <f t="shared" si="4"/>
        <v>184866.92600000004</v>
      </c>
      <c r="S6" s="52"/>
      <c r="T6" s="50">
        <f>Net_a_payer(R6,données_salaire!S6)</f>
        <v>184867</v>
      </c>
    </row>
    <row r="7" spans="1:20" x14ac:dyDescent="0.25">
      <c r="A7" s="2" t="s">
        <v>147</v>
      </c>
      <c r="B7" s="2" t="s">
        <v>84</v>
      </c>
      <c r="C7" s="2" t="s">
        <v>85</v>
      </c>
      <c r="D7" s="50">
        <f>salaire_base(données_salaire!H7)</f>
        <v>240062.05000000002</v>
      </c>
      <c r="E7" s="50">
        <f>salaire_brut_social(D7,données_salaire!X7,données_salaire!Y7,données_salaire!Z7,données_salaire!AA7,données_salaire!L7,données_salaire!Q7,données_salaire!S7)</f>
        <v>240062.05000000002</v>
      </c>
      <c r="F7" s="50">
        <f>salaire_brut_fiscal(E7,données_salaire!R7)</f>
        <v>240062.05000000002</v>
      </c>
      <c r="G7" s="50">
        <f t="shared" si="5"/>
        <v>13443.474800000002</v>
      </c>
      <c r="H7" s="50">
        <f t="shared" si="0"/>
        <v>5761.4892000000009</v>
      </c>
      <c r="I7" s="52">
        <v>2500</v>
      </c>
      <c r="J7" s="50">
        <f t="shared" si="1"/>
        <v>2880744.6</v>
      </c>
      <c r="K7" s="50">
        <f t="shared" si="2"/>
        <v>864223.38</v>
      </c>
      <c r="L7" s="52"/>
      <c r="M7" s="52"/>
      <c r="N7" s="50">
        <f t="shared" si="3"/>
        <v>2016521.2200000002</v>
      </c>
      <c r="O7" s="50">
        <f>TRIMF(données_salaire!J7,LIVRE_Paie!F7)</f>
        <v>900</v>
      </c>
      <c r="P7" s="50">
        <f>Impot_Revenu(N7,données_salaire!I7,données_salaire!J7,données_salaire!K7)</f>
        <v>62500</v>
      </c>
      <c r="Q7" s="50">
        <f>Retenus(G7,H7,données_salaire!T7,LIVRE_Paie!O7,LIVRE_Paie!P7,données_salaire!U7,données_salaire!V7)</f>
        <v>85104.964000000007</v>
      </c>
      <c r="R7" s="50">
        <f t="shared" si="4"/>
        <v>154957.08600000001</v>
      </c>
      <c r="S7" s="52"/>
      <c r="T7" s="50">
        <f>Net_a_payer(R7,données_salaire!S7)</f>
        <v>154957</v>
      </c>
    </row>
    <row r="8" spans="1:20" x14ac:dyDescent="0.25">
      <c r="A8" s="2" t="s">
        <v>88</v>
      </c>
      <c r="B8" s="2" t="s">
        <v>89</v>
      </c>
      <c r="C8" s="2" t="s">
        <v>90</v>
      </c>
      <c r="D8" s="50">
        <f>salaire_base(données_salaire!H8)</f>
        <v>469897.63000000006</v>
      </c>
      <c r="E8" s="50">
        <f>salaire_brut_social(D8,données_salaire!X8,données_salaire!Y8,données_salaire!Z8,données_salaire!AA8,données_salaire!L8,données_salaire!Q8,données_salaire!S8)</f>
        <v>479897.63000000006</v>
      </c>
      <c r="F8" s="50">
        <f>salaire_brut_fiscal(E8,données_salaire!R8)</f>
        <v>539897.63000000012</v>
      </c>
      <c r="G8" s="50">
        <f t="shared" si="5"/>
        <v>20160</v>
      </c>
      <c r="H8" s="50">
        <f t="shared" si="0"/>
        <v>11517.543120000002</v>
      </c>
      <c r="I8" s="52"/>
      <c r="J8" s="50">
        <f t="shared" si="1"/>
        <v>6478771.5600000015</v>
      </c>
      <c r="K8" s="50">
        <f t="shared" si="2"/>
        <v>900000</v>
      </c>
      <c r="L8" s="52"/>
      <c r="M8" s="52"/>
      <c r="N8" s="50">
        <f t="shared" si="3"/>
        <v>5578771.5600000015</v>
      </c>
      <c r="O8" s="50">
        <f>TRIMF(données_salaire!J8,LIVRE_Paie!F8)</f>
        <v>900</v>
      </c>
      <c r="P8" s="50">
        <f>Impot_Revenu(N8,données_salaire!I8,données_salaire!J8,données_salaire!K8)</f>
        <v>116666.66666666667</v>
      </c>
      <c r="Q8" s="50">
        <f>Retenus(G8,H8,données_salaire!T8,LIVRE_Paie!O8,LIVRE_Paie!P8,données_salaire!U8,données_salaire!V8)</f>
        <v>149244.20978666667</v>
      </c>
      <c r="R8" s="50">
        <f t="shared" si="4"/>
        <v>390653.42021333345</v>
      </c>
      <c r="S8" s="52"/>
      <c r="T8" s="50">
        <f>Net_a_payer(R8,données_salaire!S8)</f>
        <v>390653</v>
      </c>
    </row>
    <row r="9" spans="1:20" x14ac:dyDescent="0.25">
      <c r="A9" s="2" t="s">
        <v>93</v>
      </c>
      <c r="B9" s="2" t="s">
        <v>94</v>
      </c>
      <c r="C9" s="2" t="s">
        <v>95</v>
      </c>
      <c r="D9" s="50">
        <f>salaire_base(données_salaire!H9)</f>
        <v>469897.63000000006</v>
      </c>
      <c r="E9" s="50">
        <f>salaire_brut_social(D9,données_salaire!X9,données_salaire!Y9,données_salaire!Z9,données_salaire!AA9,données_salaire!L9,données_salaire!Q9,données_salaire!S9)</f>
        <v>469897.63000000006</v>
      </c>
      <c r="F9" s="50">
        <f>salaire_brut_fiscal(E9,données_salaire!R9)</f>
        <v>469897.63000000006</v>
      </c>
      <c r="G9" s="50">
        <f t="shared" si="5"/>
        <v>20160</v>
      </c>
      <c r="H9" s="50">
        <f t="shared" si="0"/>
        <v>11277.543120000002</v>
      </c>
      <c r="I9" s="52">
        <v>3000</v>
      </c>
      <c r="J9" s="50">
        <f t="shared" si="1"/>
        <v>5638771.5600000005</v>
      </c>
      <c r="K9" s="50">
        <f t="shared" si="2"/>
        <v>900000</v>
      </c>
      <c r="L9" s="52"/>
      <c r="M9" s="52"/>
      <c r="N9" s="50">
        <f t="shared" si="3"/>
        <v>4738771.5600000005</v>
      </c>
      <c r="O9" s="50">
        <f>TRIMF(données_salaire!J9,LIVRE_Paie!F9)</f>
        <v>900</v>
      </c>
      <c r="P9" s="50">
        <f>Impot_Revenu(N9,données_salaire!I9,données_salaire!J9,données_salaire!K9)</f>
        <v>116666.66666666667</v>
      </c>
      <c r="Q9" s="50">
        <f>Retenus(G9,H9,données_salaire!T9,LIVRE_Paie!O9,LIVRE_Paie!P9,données_salaire!U9,données_salaire!V9)</f>
        <v>152004.20978666667</v>
      </c>
      <c r="R9" s="50">
        <f t="shared" si="4"/>
        <v>317893.42021333339</v>
      </c>
      <c r="S9" s="52"/>
      <c r="T9" s="50">
        <f>Net_a_payer(R9,données_salaire!S9)</f>
        <v>317893</v>
      </c>
    </row>
    <row r="10" spans="1:20" x14ac:dyDescent="0.25">
      <c r="A10" s="2" t="s">
        <v>97</v>
      </c>
      <c r="B10" s="2" t="s">
        <v>98</v>
      </c>
      <c r="C10" s="2" t="s">
        <v>95</v>
      </c>
      <c r="D10" s="50">
        <f>salaire_base(données_salaire!H10)</f>
        <v>469897.63000000006</v>
      </c>
      <c r="E10" s="50">
        <f>salaire_brut_social(D10,données_salaire!X10,données_salaire!Y10,données_salaire!Z10,données_salaire!AA10,données_salaire!L10,données_salaire!Q10,données_salaire!S10)</f>
        <v>469897.63000000006</v>
      </c>
      <c r="F10" s="50">
        <f>salaire_brut_fiscal(E10,données_salaire!R10)</f>
        <v>507397.63000000006</v>
      </c>
      <c r="G10" s="50">
        <f t="shared" si="5"/>
        <v>20160</v>
      </c>
      <c r="H10" s="50">
        <f t="shared" si="0"/>
        <v>11277.543120000002</v>
      </c>
      <c r="I10" s="52">
        <v>3000</v>
      </c>
      <c r="J10" s="50">
        <f t="shared" si="1"/>
        <v>6088771.5600000005</v>
      </c>
      <c r="K10" s="50">
        <f t="shared" si="2"/>
        <v>900000</v>
      </c>
      <c r="L10" s="52">
        <v>55000</v>
      </c>
      <c r="M10" s="52"/>
      <c r="N10" s="50">
        <f t="shared" si="3"/>
        <v>5188771.5600000005</v>
      </c>
      <c r="O10" s="50">
        <f>TRIMF(données_salaire!J10,LIVRE_Paie!F10)</f>
        <v>3600</v>
      </c>
      <c r="P10" s="50">
        <f>Impot_Revenu(N10,données_salaire!I10,données_salaire!J10,données_salaire!K10)</f>
        <v>116666.66666666667</v>
      </c>
      <c r="Q10" s="50">
        <f>Retenus(G10,H10,données_salaire!T10,LIVRE_Paie!O10,LIVRE_Paie!P10,données_salaire!U10,données_salaire!V10)</f>
        <v>209704.20978666667</v>
      </c>
      <c r="R10" s="50">
        <f t="shared" si="4"/>
        <v>297693.42021333339</v>
      </c>
      <c r="S10" s="52"/>
      <c r="T10" s="50">
        <f>Net_a_payer(R10,données_salaire!S10)</f>
        <v>297693</v>
      </c>
    </row>
    <row r="11" spans="1:20" x14ac:dyDescent="0.25">
      <c r="A11" s="2" t="s">
        <v>99</v>
      </c>
      <c r="B11" s="2" t="s">
        <v>100</v>
      </c>
      <c r="C11" s="2" t="s">
        <v>101</v>
      </c>
      <c r="D11" s="50">
        <f>salaire_base(données_salaire!H11)</f>
        <v>469897.63000000006</v>
      </c>
      <c r="E11" s="50">
        <f>salaire_brut_social(D11,données_salaire!X11,données_salaire!Y11,données_salaire!Z11,données_salaire!AA11,données_salaire!L11,données_salaire!Q11,données_salaire!S11)</f>
        <v>469897.63000000006</v>
      </c>
      <c r="F11" s="50">
        <f>salaire_brut_fiscal(E11,données_salaire!R11)</f>
        <v>519897.63000000006</v>
      </c>
      <c r="G11" s="50">
        <f t="shared" si="5"/>
        <v>20160</v>
      </c>
      <c r="H11" s="50">
        <f t="shared" si="0"/>
        <v>11277.543120000002</v>
      </c>
      <c r="I11" s="52"/>
      <c r="J11" s="50">
        <f t="shared" si="1"/>
        <v>6238771.5600000005</v>
      </c>
      <c r="K11" s="50">
        <f t="shared" si="2"/>
        <v>900000</v>
      </c>
      <c r="L11" s="52"/>
      <c r="M11" s="52"/>
      <c r="N11" s="50">
        <f t="shared" si="3"/>
        <v>5338771.5600000005</v>
      </c>
      <c r="O11" s="50">
        <f>TRIMF(données_salaire!J11,LIVRE_Paie!F11)</f>
        <v>900</v>
      </c>
      <c r="P11" s="50">
        <f>Impot_Revenu(N11,données_salaire!I11,données_salaire!J11,données_salaire!K11)</f>
        <v>116666.66666666667</v>
      </c>
      <c r="Q11" s="50">
        <f>Retenus(G11,H11,données_salaire!T11,LIVRE_Paie!O11,LIVRE_Paie!P11,données_salaire!U11,données_salaire!V11)</f>
        <v>149004.20978666667</v>
      </c>
      <c r="R11" s="50">
        <f t="shared" si="4"/>
        <v>370893.42021333339</v>
      </c>
      <c r="S11" s="52"/>
      <c r="T11" s="50">
        <f>Net_a_payer(R11,données_salaire!S11)</f>
        <v>370893</v>
      </c>
    </row>
    <row r="12" spans="1:20" x14ac:dyDescent="0.25">
      <c r="A12" s="2" t="s">
        <v>103</v>
      </c>
      <c r="B12" s="2" t="s">
        <v>104</v>
      </c>
      <c r="C12" s="2" t="s">
        <v>105</v>
      </c>
      <c r="D12" s="50">
        <f>salaire_base(données_salaire!H12)</f>
        <v>350126.60000000003</v>
      </c>
      <c r="E12" s="50">
        <f>salaire_brut_social(D12,données_salaire!X12,données_salaire!Y12,données_salaire!Z12,données_salaire!AA12,données_salaire!L12,données_salaire!Q12,données_salaire!S12)</f>
        <v>411486.60000000003</v>
      </c>
      <c r="F12" s="50">
        <f>salaire_brut_fiscal(E12,données_salaire!R12)</f>
        <v>411486.60000000003</v>
      </c>
      <c r="G12" s="50">
        <f t="shared" si="5"/>
        <v>20160</v>
      </c>
      <c r="H12" s="50">
        <f t="shared" si="0"/>
        <v>9875.6784000000007</v>
      </c>
      <c r="I12" s="52">
        <v>3000</v>
      </c>
      <c r="J12" s="50">
        <f t="shared" si="1"/>
        <v>4937839.2</v>
      </c>
      <c r="K12" s="50">
        <f t="shared" si="2"/>
        <v>900000</v>
      </c>
      <c r="L12" s="52"/>
      <c r="M12" s="52"/>
      <c r="N12" s="50">
        <f t="shared" si="3"/>
        <v>4037839.2</v>
      </c>
      <c r="O12" s="50">
        <f>TRIMF(données_salaire!J12,LIVRE_Paie!F12)</f>
        <v>900</v>
      </c>
      <c r="P12" s="50">
        <f>Impot_Revenu(N12,données_salaire!I12,données_salaire!J12,données_salaire!K12)</f>
        <v>116666.66666666667</v>
      </c>
      <c r="Q12" s="50">
        <f>Retenus(G12,H12,données_salaire!T12,LIVRE_Paie!O12,LIVRE_Paie!P12,données_salaire!U12,données_salaire!V12)</f>
        <v>150602.34506666666</v>
      </c>
      <c r="R12" s="50">
        <f t="shared" si="4"/>
        <v>260884.25493333337</v>
      </c>
      <c r="S12" s="52">
        <v>25000</v>
      </c>
      <c r="T12" s="50">
        <f>Net_a_payer(R12,données_salaire!S12)</f>
        <v>285884</v>
      </c>
    </row>
    <row r="13" spans="1:20" x14ac:dyDescent="0.25">
      <c r="A13" s="2" t="s">
        <v>108</v>
      </c>
      <c r="B13" s="2" t="s">
        <v>109</v>
      </c>
      <c r="C13" s="2" t="s">
        <v>110</v>
      </c>
      <c r="D13" s="50">
        <f>salaire_base(données_salaire!H13)</f>
        <v>350126.60000000003</v>
      </c>
      <c r="E13" s="50">
        <f>salaire_brut_social(D13,données_salaire!X13,données_salaire!Y13,données_salaire!Z13,données_salaire!AA13,données_salaire!L13,données_salaire!Q13,données_salaire!S13)</f>
        <v>356590.60000000003</v>
      </c>
      <c r="F13" s="50">
        <f>salaire_brut_fiscal(E13,données_salaire!R13)</f>
        <v>356590.60000000003</v>
      </c>
      <c r="G13" s="50">
        <f t="shared" si="5"/>
        <v>19969.073600000003</v>
      </c>
      <c r="H13" s="50">
        <f t="shared" si="0"/>
        <v>8558.1744000000017</v>
      </c>
      <c r="I13" s="52"/>
      <c r="J13" s="50">
        <f t="shared" si="1"/>
        <v>4279087.2</v>
      </c>
      <c r="K13" s="50">
        <f t="shared" si="2"/>
        <v>900000</v>
      </c>
      <c r="L13" s="52">
        <v>17500</v>
      </c>
      <c r="M13" s="52"/>
      <c r="N13" s="50">
        <f t="shared" si="3"/>
        <v>3379087.2</v>
      </c>
      <c r="O13" s="50">
        <f>TRIMF(données_salaire!J13,LIVRE_Paie!F13)</f>
        <v>900</v>
      </c>
      <c r="P13" s="50">
        <f>Impot_Revenu(N13,données_salaire!I13,données_salaire!J13,données_salaire!K13)</f>
        <v>62500</v>
      </c>
      <c r="Q13" s="50">
        <f>Retenus(G13,H13,données_salaire!T13,LIVRE_Paie!O13,LIVRE_Paie!P13,données_salaire!U13,données_salaire!V13)</f>
        <v>109427.24800000001</v>
      </c>
      <c r="R13" s="50">
        <f t="shared" si="4"/>
        <v>247163.35200000001</v>
      </c>
      <c r="S13" s="52"/>
      <c r="T13" s="50">
        <f>Net_a_payer(R13,données_salaire!S13)</f>
        <v>247163</v>
      </c>
    </row>
    <row r="14" spans="1:20" x14ac:dyDescent="0.25">
      <c r="A14" s="2" t="s">
        <v>113</v>
      </c>
      <c r="B14" s="2" t="s">
        <v>114</v>
      </c>
      <c r="C14" s="2" t="s">
        <v>115</v>
      </c>
      <c r="D14" s="50">
        <f>salaire_base(données_salaire!H14)</f>
        <v>350126.60000000003</v>
      </c>
      <c r="E14" s="50">
        <f>salaire_brut_social(D14,données_salaire!X14,données_salaire!Y14,données_salaire!Z14,données_salaire!AA14,données_salaire!L14,données_salaire!Q14,données_salaire!S14)</f>
        <v>421666.60000000003</v>
      </c>
      <c r="F14" s="50">
        <f>salaire_brut_fiscal(E14,données_salaire!R14)</f>
        <v>421666.60000000003</v>
      </c>
      <c r="G14" s="50">
        <f t="shared" si="5"/>
        <v>20160</v>
      </c>
      <c r="H14" s="50">
        <f t="shared" si="0"/>
        <v>10119.9984</v>
      </c>
      <c r="I14" s="52">
        <v>3000</v>
      </c>
      <c r="J14" s="50">
        <f t="shared" si="1"/>
        <v>5059999.2</v>
      </c>
      <c r="K14" s="50">
        <f t="shared" si="2"/>
        <v>900000</v>
      </c>
      <c r="L14" s="52"/>
      <c r="M14" s="52">
        <v>15000</v>
      </c>
      <c r="N14" s="50">
        <f t="shared" si="3"/>
        <v>4159999.2</v>
      </c>
      <c r="O14" s="50">
        <f>TRIMF(données_salaire!J14,LIVRE_Paie!F14)</f>
        <v>900</v>
      </c>
      <c r="P14" s="50">
        <f>Impot_Revenu(N14,données_salaire!I14,données_salaire!J14,données_salaire!K14)</f>
        <v>116666.66666666667</v>
      </c>
      <c r="Q14" s="50">
        <f>Retenus(G14,H14,données_salaire!T14,LIVRE_Paie!O14,LIVRE_Paie!P14,données_salaire!U14,données_salaire!V14)</f>
        <v>165846.66506666667</v>
      </c>
      <c r="R14" s="50">
        <f t="shared" si="4"/>
        <v>255819.93493333337</v>
      </c>
      <c r="S14" s="52">
        <v>17000</v>
      </c>
      <c r="T14" s="50">
        <f>Net_a_payer(R14,données_salaire!S14)</f>
        <v>272820</v>
      </c>
    </row>
    <row r="15" spans="1:20" x14ac:dyDescent="0.25">
      <c r="A15" s="2" t="s">
        <v>118</v>
      </c>
      <c r="B15" s="2" t="s">
        <v>81</v>
      </c>
      <c r="C15" s="2" t="s">
        <v>119</v>
      </c>
      <c r="D15" s="50">
        <f>salaire_base(données_salaire!H15)</f>
        <v>240062.05000000002</v>
      </c>
      <c r="E15" s="50">
        <f>salaire_brut_social(D15,données_salaire!X15,données_salaire!Y15,données_salaire!Z15,données_salaire!AA15,données_salaire!L15,données_salaire!Q15,données_salaire!S15)</f>
        <v>240062.05000000002</v>
      </c>
      <c r="F15" s="50">
        <f>salaire_brut_fiscal(E15,données_salaire!R15)</f>
        <v>240062.05000000002</v>
      </c>
      <c r="G15" s="50">
        <f t="shared" si="5"/>
        <v>13443.474800000002</v>
      </c>
      <c r="H15" s="50">
        <f t="shared" si="0"/>
        <v>5761.4892000000009</v>
      </c>
      <c r="I15" s="52">
        <v>2500</v>
      </c>
      <c r="J15" s="50">
        <f t="shared" si="1"/>
        <v>2880744.6</v>
      </c>
      <c r="K15" s="50">
        <f t="shared" si="2"/>
        <v>864223.38</v>
      </c>
      <c r="L15" s="52"/>
      <c r="M15" s="52"/>
      <c r="N15" s="50">
        <f t="shared" si="3"/>
        <v>2016521.2200000002</v>
      </c>
      <c r="O15" s="50">
        <f>TRIMF(données_salaire!J15,LIVRE_Paie!F15)</f>
        <v>900</v>
      </c>
      <c r="P15" s="50">
        <f>Impot_Revenu(N15,données_salaire!I15,données_salaire!J15,données_salaire!K15)</f>
        <v>62500</v>
      </c>
      <c r="Q15" s="50">
        <f>Retenus(G15,H15,données_salaire!T15,LIVRE_Paie!O15,LIVRE_Paie!P15,données_salaire!U15,données_salaire!V15)</f>
        <v>85104.964000000007</v>
      </c>
      <c r="R15" s="50">
        <f t="shared" si="4"/>
        <v>154957.08600000001</v>
      </c>
      <c r="S15" s="52"/>
      <c r="T15" s="50">
        <f>Net_a_payer(R15,données_salaire!S15)</f>
        <v>154957</v>
      </c>
    </row>
    <row r="16" spans="1:20" x14ac:dyDescent="0.25">
      <c r="A16" s="2" t="s">
        <v>122</v>
      </c>
      <c r="B16" s="2" t="s">
        <v>123</v>
      </c>
      <c r="C16" s="2" t="s">
        <v>119</v>
      </c>
      <c r="D16" s="50">
        <f>salaire_base(données_salaire!H16)</f>
        <v>240062.05000000002</v>
      </c>
      <c r="E16" s="50">
        <f>salaire_brut_social(D16,données_salaire!X16,données_salaire!Y16,données_salaire!Z16,données_salaire!AA16,données_salaire!L16,données_salaire!Q16,données_salaire!S16)</f>
        <v>260837.05000000002</v>
      </c>
      <c r="F16" s="50">
        <f>salaire_brut_fiscal(E16,données_salaire!R16)</f>
        <v>260837.05000000002</v>
      </c>
      <c r="G16" s="50">
        <f t="shared" si="5"/>
        <v>14606.874800000001</v>
      </c>
      <c r="H16" s="50">
        <f t="shared" si="0"/>
        <v>6260.0892000000003</v>
      </c>
      <c r="I16" s="52"/>
      <c r="J16" s="50">
        <f t="shared" si="1"/>
        <v>3130044.6</v>
      </c>
      <c r="K16" s="50">
        <f t="shared" si="2"/>
        <v>900000</v>
      </c>
      <c r="L16" s="52"/>
      <c r="M16" s="52"/>
      <c r="N16" s="50">
        <f t="shared" si="3"/>
        <v>2230044.6</v>
      </c>
      <c r="O16" s="50">
        <f>TRIMF(données_salaire!J16,LIVRE_Paie!F16)</f>
        <v>900</v>
      </c>
      <c r="P16" s="50">
        <f>Impot_Revenu(N16,données_salaire!I16,données_salaire!J16,données_salaire!K16)</f>
        <v>62500</v>
      </c>
      <c r="Q16" s="50">
        <f>Retenus(G16,H16,données_salaire!T16,LIVRE_Paie!O16,LIVRE_Paie!P16,données_salaire!U16,données_salaire!V16)</f>
        <v>84266.964000000007</v>
      </c>
      <c r="R16" s="50">
        <f t="shared" si="4"/>
        <v>176570.08600000001</v>
      </c>
      <c r="S16" s="52"/>
      <c r="T16" s="50">
        <f>Net_a_payer(R16,données_salaire!S16)</f>
        <v>176570</v>
      </c>
    </row>
    <row r="17" spans="1:20" x14ac:dyDescent="0.25">
      <c r="A17" s="2" t="s">
        <v>125</v>
      </c>
      <c r="B17" s="2" t="s">
        <v>126</v>
      </c>
      <c r="C17" s="2" t="s">
        <v>127</v>
      </c>
      <c r="D17" s="50">
        <f>salaire_base(données_salaire!H17)</f>
        <v>240062.05000000002</v>
      </c>
      <c r="E17" s="50">
        <f>salaire_brut_social(D17,données_salaire!X17,données_salaire!Y17,données_salaire!Z17,données_salaire!AA17,données_salaire!L17,données_salaire!Q17,données_salaire!S17)</f>
        <v>279424.05000000005</v>
      </c>
      <c r="F17" s="50">
        <f>salaire_brut_fiscal(E17,données_salaire!R17)</f>
        <v>279424.05000000005</v>
      </c>
      <c r="G17" s="50">
        <f t="shared" si="5"/>
        <v>15647.746800000003</v>
      </c>
      <c r="H17" s="50">
        <f t="shared" si="0"/>
        <v>6706.177200000001</v>
      </c>
      <c r="I17" s="52"/>
      <c r="J17" s="50">
        <f t="shared" si="1"/>
        <v>3353088.6000000006</v>
      </c>
      <c r="K17" s="50">
        <f t="shared" si="2"/>
        <v>900000</v>
      </c>
      <c r="L17" s="52"/>
      <c r="M17" s="52"/>
      <c r="N17" s="50">
        <f t="shared" si="3"/>
        <v>2453088.6000000006</v>
      </c>
      <c r="O17" s="50">
        <f>TRIMF(données_salaire!J17,LIVRE_Paie!F17)</f>
        <v>1800</v>
      </c>
      <c r="P17" s="50">
        <f>Impot_Revenu(N17,données_salaire!I17,données_salaire!J17,données_salaire!K17)</f>
        <v>62500</v>
      </c>
      <c r="Q17" s="50">
        <f>Retenus(G17,H17,données_salaire!T17,LIVRE_Paie!O17,LIVRE_Paie!P17,données_salaire!U17,données_salaire!V17)</f>
        <v>86653.923999999999</v>
      </c>
      <c r="R17" s="50">
        <f t="shared" si="4"/>
        <v>192770.12600000005</v>
      </c>
      <c r="S17" s="52"/>
      <c r="T17" s="50">
        <f>Net_a_payer(R17,données_salaire!S17)</f>
        <v>192770</v>
      </c>
    </row>
    <row r="18" spans="1:20" x14ac:dyDescent="0.25">
      <c r="A18" s="2" t="s">
        <v>130</v>
      </c>
      <c r="B18" s="2" t="s">
        <v>131</v>
      </c>
      <c r="C18" s="2" t="s">
        <v>127</v>
      </c>
      <c r="D18" s="50">
        <f>salaire_base(données_salaire!H18)</f>
        <v>240062.05000000002</v>
      </c>
      <c r="E18" s="50">
        <f>salaire_brut_social(D18,données_salaire!X18,données_salaire!Y18,données_salaire!Z18,données_salaire!AA18,données_salaire!L18,données_salaire!Q18,données_salaire!S18)</f>
        <v>255020.05000000002</v>
      </c>
      <c r="F18" s="50">
        <f>salaire_brut_fiscal(E18,données_salaire!R18)</f>
        <v>255020.05000000002</v>
      </c>
      <c r="G18" s="50">
        <f t="shared" si="5"/>
        <v>14281.122800000001</v>
      </c>
      <c r="H18" s="50">
        <f t="shared" si="0"/>
        <v>6120.4812000000002</v>
      </c>
      <c r="I18" s="52"/>
      <c r="J18" s="50">
        <f t="shared" si="1"/>
        <v>3060240.6</v>
      </c>
      <c r="K18" s="50">
        <f t="shared" si="2"/>
        <v>900000</v>
      </c>
      <c r="L18" s="52">
        <v>20000</v>
      </c>
      <c r="M18" s="52"/>
      <c r="N18" s="50">
        <f t="shared" si="3"/>
        <v>2160240.6</v>
      </c>
      <c r="O18" s="50">
        <f>TRIMF(données_salaire!J18,LIVRE_Paie!F18)</f>
        <v>1800</v>
      </c>
      <c r="P18" s="50">
        <f>Impot_Revenu(N18,données_salaire!I18,données_salaire!J18,données_salaire!K18)</f>
        <v>62500</v>
      </c>
      <c r="Q18" s="50">
        <f>Retenus(G18,H18,données_salaire!T18,LIVRE_Paie!O18,LIVRE_Paie!P18,données_salaire!U18,données_salaire!V18)</f>
        <v>104701.60399999999</v>
      </c>
      <c r="R18" s="50">
        <f t="shared" si="4"/>
        <v>150318.44600000003</v>
      </c>
      <c r="S18" s="52"/>
      <c r="T18" s="50">
        <f>Net_a_payer(R18,données_salaire!S18)</f>
        <v>150318</v>
      </c>
    </row>
    <row r="19" spans="1:20" x14ac:dyDescent="0.25">
      <c r="A19" s="2" t="s">
        <v>134</v>
      </c>
      <c r="B19" s="2" t="s">
        <v>135</v>
      </c>
      <c r="C19" s="2" t="s">
        <v>136</v>
      </c>
      <c r="D19" s="50">
        <f>salaire_base(données_salaire!H19)</f>
        <v>469897.63000000006</v>
      </c>
      <c r="E19" s="50">
        <f>salaire_brut_social(D19,données_salaire!X19,données_salaire!Y19,données_salaire!Z19,données_salaire!AA19,données_salaire!L19,données_salaire!Q19,données_salaire!S19)</f>
        <v>479897.63000000006</v>
      </c>
      <c r="F19" s="50">
        <f>salaire_brut_fiscal(E19,données_salaire!R19)</f>
        <v>544897.63000000012</v>
      </c>
      <c r="G19" s="50">
        <f t="shared" si="5"/>
        <v>20160</v>
      </c>
      <c r="H19" s="50">
        <f t="shared" si="0"/>
        <v>11517.543120000002</v>
      </c>
      <c r="I19" s="52"/>
      <c r="J19" s="50">
        <f t="shared" si="1"/>
        <v>6538771.5600000015</v>
      </c>
      <c r="K19" s="50">
        <f t="shared" si="2"/>
        <v>900000</v>
      </c>
      <c r="L19" s="52">
        <v>15000</v>
      </c>
      <c r="M19" s="52"/>
      <c r="N19" s="50">
        <f t="shared" si="3"/>
        <v>5638771.5600000015</v>
      </c>
      <c r="O19" s="50">
        <f>TRIMF(données_salaire!J19,LIVRE_Paie!F19)</f>
        <v>2700</v>
      </c>
      <c r="P19" s="50">
        <f>Impot_Revenu(N19,données_salaire!I19,données_salaire!J19,données_salaire!K19)</f>
        <v>116666.66666666667</v>
      </c>
      <c r="Q19" s="50">
        <f>Retenus(G19,H19,données_salaire!T19,LIVRE_Paie!O19,LIVRE_Paie!P19,données_salaire!U19,données_salaire!V19)</f>
        <v>166044.20978666667</v>
      </c>
      <c r="R19" s="50">
        <f t="shared" si="4"/>
        <v>378853.42021333345</v>
      </c>
      <c r="S19" s="52"/>
      <c r="T19" s="50">
        <f>Net_a_payer(R19,données_salaire!S19)</f>
        <v>378853</v>
      </c>
    </row>
    <row r="20" spans="1:20" x14ac:dyDescent="0.25">
      <c r="A20" s="2" t="s">
        <v>138</v>
      </c>
      <c r="B20" s="2" t="s">
        <v>139</v>
      </c>
      <c r="C20" s="2" t="s">
        <v>140</v>
      </c>
      <c r="D20" s="50">
        <f>salaire_base(données_salaire!H20)</f>
        <v>240062.05000000002</v>
      </c>
      <c r="E20" s="50">
        <f>salaire_brut_social(D20,données_salaire!X20,données_salaire!Y20,données_salaire!Z20,données_salaire!AA20,données_salaire!L20,données_salaire!Q20,données_salaire!S20)</f>
        <v>262222.05000000005</v>
      </c>
      <c r="F20" s="50">
        <f>salaire_brut_fiscal(E20,données_salaire!R20)</f>
        <v>262222.05000000005</v>
      </c>
      <c r="G20" s="50">
        <f t="shared" si="5"/>
        <v>14684.434800000003</v>
      </c>
      <c r="H20" s="50">
        <f t="shared" si="0"/>
        <v>6293.329200000001</v>
      </c>
      <c r="I20" s="52">
        <v>3000</v>
      </c>
      <c r="J20" s="50">
        <f t="shared" si="1"/>
        <v>3146664.6000000006</v>
      </c>
      <c r="K20" s="50">
        <f t="shared" si="2"/>
        <v>900000</v>
      </c>
      <c r="L20" s="52"/>
      <c r="M20" s="52"/>
      <c r="N20" s="50">
        <f t="shared" si="3"/>
        <v>2246664.6000000006</v>
      </c>
      <c r="O20" s="50">
        <f>TRIMF(données_salaire!J20,LIVRE_Paie!F20)</f>
        <v>1800</v>
      </c>
      <c r="P20" s="50">
        <f>Impot_Revenu(N20,données_salaire!I20,données_salaire!J20,données_salaire!K20)</f>
        <v>62500</v>
      </c>
      <c r="Q20" s="50">
        <f>Retenus(G20,H20,données_salaire!T20,LIVRE_Paie!O20,LIVRE_Paie!P20,données_salaire!U20,données_salaire!V20)</f>
        <v>88277.763999999996</v>
      </c>
      <c r="R20" s="50">
        <f t="shared" si="4"/>
        <v>173944.28600000005</v>
      </c>
      <c r="S20" s="52"/>
      <c r="T20" s="50">
        <f>Net_a_payer(R20,données_salaire!S20)</f>
        <v>173944</v>
      </c>
    </row>
    <row r="21" spans="1:20" x14ac:dyDescent="0.25">
      <c r="A21" s="2" t="s">
        <v>143</v>
      </c>
      <c r="B21" s="2" t="s">
        <v>144</v>
      </c>
      <c r="C21" s="2" t="s">
        <v>140</v>
      </c>
      <c r="D21" s="50">
        <f>salaire_base(données_salaire!H21)</f>
        <v>350126.60000000003</v>
      </c>
      <c r="E21" s="50">
        <f>salaire_brut_social(D21,données_salaire!X21,données_salaire!Y21,données_salaire!Z21,données_salaire!AA21,données_salaire!L21,données_salaire!Q21,données_salaire!S21)</f>
        <v>390694.60000000003</v>
      </c>
      <c r="F21" s="50">
        <f>salaire_brut_fiscal(E21,données_salaire!R21)</f>
        <v>390694.60000000003</v>
      </c>
      <c r="G21" s="50">
        <f t="shared" si="5"/>
        <v>20160</v>
      </c>
      <c r="H21" s="50">
        <f t="shared" si="0"/>
        <v>9376.6704000000009</v>
      </c>
      <c r="I21" s="52">
        <v>2500</v>
      </c>
      <c r="J21" s="50">
        <f t="shared" si="1"/>
        <v>4688335.2</v>
      </c>
      <c r="K21" s="50">
        <f t="shared" si="2"/>
        <v>900000</v>
      </c>
      <c r="L21" s="52"/>
      <c r="M21" s="52"/>
      <c r="N21" s="50">
        <f t="shared" si="3"/>
        <v>3788335.2</v>
      </c>
      <c r="O21" s="50">
        <f>TRIMF(données_salaire!J21,LIVRE_Paie!F21)</f>
        <v>1800</v>
      </c>
      <c r="P21" s="50">
        <f>Impot_Revenu(N21,données_salaire!I21,données_salaire!J21,données_salaire!K21)</f>
        <v>62500</v>
      </c>
      <c r="Q21" s="50">
        <f>Retenus(G21,H21,données_salaire!T21,LIVRE_Paie!O21,LIVRE_Paie!P21,données_salaire!U21,données_salaire!V21)</f>
        <v>96336.670400000003</v>
      </c>
      <c r="R21" s="50">
        <f t="shared" si="4"/>
        <v>294357.92960000003</v>
      </c>
      <c r="S21" s="52"/>
      <c r="T21" s="50">
        <f>Net_a_payer(R21,données_salaire!S21)</f>
        <v>294358</v>
      </c>
    </row>
    <row r="22" spans="1:20" x14ac:dyDescent="0.25">
      <c r="A22" s="2" t="s">
        <v>148</v>
      </c>
      <c r="B22" s="2" t="s">
        <v>149</v>
      </c>
      <c r="C22" s="2" t="s">
        <v>80</v>
      </c>
      <c r="D22" s="50">
        <f>salaire_base(données_salaire!H22)</f>
        <v>350126.60000000003</v>
      </c>
      <c r="E22" s="50">
        <f>salaire_brut_social(D22,données_salaire!X22,données_salaire!Y22,données_salaire!Z22,données_salaire!AA22,données_salaire!L22,données_salaire!Q22,données_salaire!S22)</f>
        <v>437190.60000000003</v>
      </c>
      <c r="F22" s="50">
        <f>salaire_brut_fiscal(E22,données_salaire!R22)</f>
        <v>437190.60000000003</v>
      </c>
      <c r="G22" s="50">
        <f t="shared" si="5"/>
        <v>20160</v>
      </c>
      <c r="H22" s="50">
        <f t="shared" si="0"/>
        <v>10492.574400000001</v>
      </c>
      <c r="I22" s="52"/>
      <c r="J22" s="50">
        <f t="shared" si="1"/>
        <v>5246287.2</v>
      </c>
      <c r="K22" s="50">
        <f t="shared" si="2"/>
        <v>900000</v>
      </c>
      <c r="L22" s="52"/>
      <c r="M22" s="52"/>
      <c r="N22" s="50">
        <f t="shared" si="3"/>
        <v>4346287.2</v>
      </c>
      <c r="O22" s="50">
        <f>TRIMF(données_salaire!J22,LIVRE_Paie!F22)</f>
        <v>2700</v>
      </c>
      <c r="P22" s="50">
        <f>Impot_Revenu(N22,données_salaire!I22,données_salaire!J22,données_salaire!K22)</f>
        <v>116666.66666666667</v>
      </c>
      <c r="Q22" s="50">
        <f>Retenus(G22,H22,données_salaire!T22,LIVRE_Paie!O22,LIVRE_Paie!P22,données_salaire!U22,données_salaire!V22)</f>
        <v>150019.24106666667</v>
      </c>
      <c r="R22" s="50">
        <f t="shared" si="4"/>
        <v>287171.35893333337</v>
      </c>
      <c r="S22" s="52">
        <v>20000</v>
      </c>
      <c r="T22" s="50">
        <f>Net_a_payer(R22,données_salaire!S22)</f>
        <v>307171</v>
      </c>
    </row>
    <row r="23" spans="1:20" x14ac:dyDescent="0.25">
      <c r="A23" s="2" t="s">
        <v>151</v>
      </c>
      <c r="B23" s="2" t="s">
        <v>152</v>
      </c>
      <c r="C23" s="2" t="s">
        <v>80</v>
      </c>
      <c r="D23" s="50">
        <f>salaire_base(données_salaire!H23)</f>
        <v>350126.60000000003</v>
      </c>
      <c r="E23" s="50">
        <f>salaire_brut_social(D23,données_salaire!X23,données_salaire!Y23,données_salaire!Z23,données_salaire!AA23,données_salaire!L23,données_salaire!Q23,données_salaire!S23)</f>
        <v>360126.60000000003</v>
      </c>
      <c r="F23" s="50">
        <f>salaire_brut_fiscal(E23,données_salaire!R23)</f>
        <v>360126.60000000003</v>
      </c>
      <c r="G23" s="50">
        <f t="shared" si="5"/>
        <v>20160</v>
      </c>
      <c r="H23" s="50">
        <f t="shared" si="0"/>
        <v>8643.0384000000013</v>
      </c>
      <c r="I23" s="52"/>
      <c r="J23" s="50">
        <f t="shared" si="1"/>
        <v>4321519.2</v>
      </c>
      <c r="K23" s="50">
        <f t="shared" si="2"/>
        <v>900000</v>
      </c>
      <c r="L23" s="52"/>
      <c r="M23" s="52"/>
      <c r="N23" s="50">
        <f t="shared" si="3"/>
        <v>3421519.2</v>
      </c>
      <c r="O23" s="50">
        <f>TRIMF(données_salaire!J23,LIVRE_Paie!F23)</f>
        <v>900</v>
      </c>
      <c r="P23" s="50">
        <f>Impot_Revenu(N23,données_salaire!I23,données_salaire!J23,données_salaire!K23)</f>
        <v>62500</v>
      </c>
      <c r="Q23" s="50">
        <f>Retenus(G23,H23,données_salaire!T23,LIVRE_Paie!O23,LIVRE_Paie!P23,données_salaire!U23,données_salaire!V23)</f>
        <v>92203.038400000005</v>
      </c>
      <c r="R23" s="50">
        <f t="shared" si="4"/>
        <v>267923.56160000002</v>
      </c>
      <c r="S23" s="52"/>
      <c r="T23" s="50">
        <f>Net_a_payer(R23,données_salaire!S23)</f>
        <v>267924</v>
      </c>
    </row>
    <row r="24" spans="1:20" x14ac:dyDescent="0.25">
      <c r="A24" s="2" t="s">
        <v>154</v>
      </c>
      <c r="B24" s="2" t="s">
        <v>155</v>
      </c>
      <c r="C24" s="2" t="s">
        <v>156</v>
      </c>
      <c r="D24" s="50">
        <f>salaire_base(données_salaire!H24)</f>
        <v>240062.05000000002</v>
      </c>
      <c r="E24" s="50">
        <f>salaire_brut_social(D24,données_salaire!X24,données_salaire!Y24,données_salaire!Z24,données_salaire!AA24,données_salaire!L24,données_salaire!Q24,données_salaire!S24)</f>
        <v>263330.05000000005</v>
      </c>
      <c r="F24" s="50">
        <f>salaire_brut_fiscal(E24,données_salaire!R24)</f>
        <v>313330.05000000005</v>
      </c>
      <c r="G24" s="50">
        <f t="shared" si="5"/>
        <v>14746.482800000003</v>
      </c>
      <c r="H24" s="50">
        <f t="shared" si="0"/>
        <v>6319.9212000000016</v>
      </c>
      <c r="I24" s="52"/>
      <c r="J24" s="50">
        <f t="shared" si="1"/>
        <v>3759960.6000000006</v>
      </c>
      <c r="K24" s="50">
        <f t="shared" si="2"/>
        <v>900000</v>
      </c>
      <c r="L24" s="52"/>
      <c r="M24" s="52"/>
      <c r="N24" s="50">
        <f t="shared" si="3"/>
        <v>2859960.6000000006</v>
      </c>
      <c r="O24" s="50">
        <f>TRIMF(données_salaire!J24,LIVRE_Paie!F24)</f>
        <v>2700</v>
      </c>
      <c r="P24" s="50">
        <f>Impot_Revenu(N24,données_salaire!I24,données_salaire!J24,données_salaire!K24)</f>
        <v>62500</v>
      </c>
      <c r="Q24" s="50">
        <f>Retenus(G24,H24,données_salaire!T24,LIVRE_Paie!O24,LIVRE_Paie!P24,données_salaire!U24,données_salaire!V24)</f>
        <v>86266.40400000001</v>
      </c>
      <c r="R24" s="50">
        <f t="shared" si="4"/>
        <v>227063.64600000004</v>
      </c>
      <c r="S24" s="52"/>
      <c r="T24" s="50">
        <f>Net_a_payer(R24,données_salaire!S24)</f>
        <v>227064</v>
      </c>
    </row>
    <row r="25" spans="1:20" x14ac:dyDescent="0.25">
      <c r="A25" s="2" t="s">
        <v>158</v>
      </c>
      <c r="B25" s="2" t="s">
        <v>159</v>
      </c>
      <c r="C25" s="2" t="s">
        <v>160</v>
      </c>
      <c r="D25" s="50">
        <f>salaire_base(données_salaire!H25)</f>
        <v>240062.05000000002</v>
      </c>
      <c r="E25" s="50">
        <f>salaire_brut_social(D25,données_salaire!X25,données_salaire!Y25,données_salaire!Z25,données_salaire!AA25,données_salaire!L25,données_salaire!Q25,données_salaire!S25)</f>
        <v>276931.05</v>
      </c>
      <c r="F25" s="50">
        <f>salaire_brut_fiscal(E25,données_salaire!R25)</f>
        <v>276931.05</v>
      </c>
      <c r="G25" s="50">
        <f t="shared" si="5"/>
        <v>15508.138799999999</v>
      </c>
      <c r="H25" s="50">
        <f t="shared" si="0"/>
        <v>6646.3451999999997</v>
      </c>
      <c r="I25" s="52">
        <v>2500</v>
      </c>
      <c r="J25" s="50">
        <f t="shared" si="1"/>
        <v>3323172.5999999996</v>
      </c>
      <c r="K25" s="50">
        <f t="shared" si="2"/>
        <v>900000</v>
      </c>
      <c r="L25" s="52"/>
      <c r="M25" s="52"/>
      <c r="N25" s="50">
        <f t="shared" si="3"/>
        <v>2423172.5999999996</v>
      </c>
      <c r="O25" s="50">
        <f>TRIMF(données_salaire!J25,LIVRE_Paie!F25)</f>
        <v>1800</v>
      </c>
      <c r="P25" s="50">
        <f>Impot_Revenu(N25,données_salaire!I25,données_salaire!J25,données_salaire!K25)</f>
        <v>62500</v>
      </c>
      <c r="Q25" s="50">
        <f>Retenus(G25,H25,données_salaire!T25,LIVRE_Paie!O25,LIVRE_Paie!P25,données_salaire!U25,données_salaire!V25)</f>
        <v>88954.483999999997</v>
      </c>
      <c r="R25" s="50">
        <f t="shared" si="4"/>
        <v>187976.56599999999</v>
      </c>
      <c r="S25" s="52"/>
      <c r="T25" s="50">
        <f>Net_a_payer(R25,données_salaire!S25)</f>
        <v>187977</v>
      </c>
    </row>
    <row r="26" spans="1:20" x14ac:dyDescent="0.25">
      <c r="A26" s="2" t="s">
        <v>163</v>
      </c>
      <c r="B26" s="2" t="s">
        <v>164</v>
      </c>
      <c r="C26" s="2" t="s">
        <v>160</v>
      </c>
      <c r="D26" s="50">
        <f>salaire_base(données_salaire!H26)</f>
        <v>240062.05000000002</v>
      </c>
      <c r="E26" s="50">
        <f>salaire_brut_social(D26,données_salaire!X26,données_salaire!Y26,données_salaire!Z26,données_salaire!AA26,données_salaire!L26,données_salaire!Q26,données_salaire!S26)</f>
        <v>261668.05000000002</v>
      </c>
      <c r="F26" s="50">
        <f>salaire_brut_fiscal(E26,données_salaire!R26)</f>
        <v>261668.05000000002</v>
      </c>
      <c r="G26" s="50">
        <f t="shared" si="5"/>
        <v>14653.410800000001</v>
      </c>
      <c r="H26" s="50">
        <f t="shared" si="0"/>
        <v>6280.0332000000008</v>
      </c>
      <c r="I26" s="52">
        <v>3000</v>
      </c>
      <c r="J26" s="50">
        <f t="shared" si="1"/>
        <v>3140016.6</v>
      </c>
      <c r="K26" s="50">
        <f t="shared" si="2"/>
        <v>900000</v>
      </c>
      <c r="L26" s="52">
        <v>30000</v>
      </c>
      <c r="M26" s="52"/>
      <c r="N26" s="50">
        <f t="shared" si="3"/>
        <v>2240016.6</v>
      </c>
      <c r="O26" s="50">
        <f>TRIMF(données_salaire!J26,LIVRE_Paie!F26)</f>
        <v>900</v>
      </c>
      <c r="P26" s="50">
        <f>Impot_Revenu(N26,données_salaire!I26,données_salaire!J26,données_salaire!K26)</f>
        <v>62500</v>
      </c>
      <c r="Q26" s="50">
        <f>Retenus(G26,H26,données_salaire!T26,LIVRE_Paie!O26,LIVRE_Paie!P26,données_salaire!U26,données_salaire!V26)</f>
        <v>117333.444</v>
      </c>
      <c r="R26" s="50">
        <f t="shared" si="4"/>
        <v>144334.60600000003</v>
      </c>
      <c r="S26" s="52"/>
      <c r="T26" s="50">
        <f>Net_a_payer(R26,données_salaire!S26)</f>
        <v>144335</v>
      </c>
    </row>
    <row r="27" spans="1:20" x14ac:dyDescent="0.25">
      <c r="A27" s="2" t="s">
        <v>166</v>
      </c>
      <c r="B27" s="2" t="s">
        <v>167</v>
      </c>
      <c r="C27" s="2" t="s">
        <v>168</v>
      </c>
      <c r="D27" s="50">
        <f>salaire_base(données_salaire!H27)</f>
        <v>240062.05000000002</v>
      </c>
      <c r="E27" s="50">
        <f>salaire_brut_social(D27,données_salaire!X27,données_salaire!Y27,données_salaire!Z27,données_salaire!AA27,données_salaire!L27,données_salaire!Q27,données_salaire!S27)</f>
        <v>303030.05000000005</v>
      </c>
      <c r="F27" s="50">
        <f>salaire_brut_fiscal(E27,données_salaire!R27)</f>
        <v>303030.05000000005</v>
      </c>
      <c r="G27" s="50">
        <f t="shared" si="5"/>
        <v>16969.682800000002</v>
      </c>
      <c r="H27" s="50">
        <f t="shared" si="0"/>
        <v>7272.7212000000009</v>
      </c>
      <c r="I27" s="52"/>
      <c r="J27" s="50">
        <f t="shared" si="1"/>
        <v>3636360.6000000006</v>
      </c>
      <c r="K27" s="50">
        <f t="shared" si="2"/>
        <v>900000</v>
      </c>
      <c r="L27" s="52"/>
      <c r="M27" s="52"/>
      <c r="N27" s="50">
        <f t="shared" si="3"/>
        <v>2736360.6000000006</v>
      </c>
      <c r="O27" s="50">
        <f>TRIMF(données_salaire!J27,LIVRE_Paie!F27)</f>
        <v>900</v>
      </c>
      <c r="P27" s="50">
        <f>Impot_Revenu(N27,données_salaire!I27,données_salaire!J27,données_salaire!K27)</f>
        <v>62500</v>
      </c>
      <c r="Q27" s="50">
        <f>Retenus(G27,H27,données_salaire!T27,LIVRE_Paie!O27,LIVRE_Paie!P27,données_salaire!U27,données_salaire!V27)</f>
        <v>87642.40400000001</v>
      </c>
      <c r="R27" s="50">
        <f t="shared" si="4"/>
        <v>215387.64600000004</v>
      </c>
      <c r="S27" s="52"/>
      <c r="T27" s="50">
        <f>Net_a_payer(R27,données_salaire!S27)</f>
        <v>215388</v>
      </c>
    </row>
    <row r="28" spans="1:20" x14ac:dyDescent="0.25">
      <c r="A28" s="2" t="s">
        <v>171</v>
      </c>
      <c r="B28" s="2" t="s">
        <v>172</v>
      </c>
      <c r="C28" s="2" t="s">
        <v>173</v>
      </c>
      <c r="D28" s="50">
        <f>salaire_base(données_salaire!H28)</f>
        <v>469897.63000000006</v>
      </c>
      <c r="E28" s="50">
        <f>salaire_brut_social(D28,données_salaire!X28,données_salaire!Y28,données_salaire!Z28,données_salaire!AA28,données_salaire!L28,données_salaire!Q28,données_salaire!S28)</f>
        <v>469897.63000000006</v>
      </c>
      <c r="F28" s="50">
        <f>salaire_brut_fiscal(E28,données_salaire!R28)</f>
        <v>484897.63000000006</v>
      </c>
      <c r="G28" s="50">
        <f t="shared" si="5"/>
        <v>20160</v>
      </c>
      <c r="H28" s="50">
        <f t="shared" si="0"/>
        <v>11277.543120000002</v>
      </c>
      <c r="I28" s="52">
        <v>3000</v>
      </c>
      <c r="J28" s="50">
        <f t="shared" si="1"/>
        <v>5818771.5600000005</v>
      </c>
      <c r="K28" s="50">
        <f t="shared" si="2"/>
        <v>900000</v>
      </c>
      <c r="L28" s="52"/>
      <c r="M28" s="52"/>
      <c r="N28" s="50">
        <f t="shared" si="3"/>
        <v>4918771.5600000005</v>
      </c>
      <c r="O28" s="50">
        <f>TRIMF(données_salaire!J28,LIVRE_Paie!F28)</f>
        <v>900</v>
      </c>
      <c r="P28" s="50">
        <f>Impot_Revenu(N28,données_salaire!I28,données_salaire!J28,données_salaire!K28)</f>
        <v>116666.66666666667</v>
      </c>
      <c r="Q28" s="50">
        <f>Retenus(G28,H28,données_salaire!T28,LIVRE_Paie!O28,LIVRE_Paie!P28,données_salaire!U28,données_salaire!V28)</f>
        <v>152004.20978666667</v>
      </c>
      <c r="R28" s="50">
        <f t="shared" si="4"/>
        <v>332893.42021333339</v>
      </c>
      <c r="S28" s="52"/>
      <c r="T28" s="50">
        <f>Net_a_payer(R28,données_salaire!S28)</f>
        <v>332893</v>
      </c>
    </row>
    <row r="29" spans="1:20" x14ac:dyDescent="0.25">
      <c r="A29" s="2" t="s">
        <v>176</v>
      </c>
      <c r="B29" s="2" t="s">
        <v>177</v>
      </c>
      <c r="C29" s="2" t="s">
        <v>178</v>
      </c>
      <c r="D29" s="50">
        <f>salaire_base(données_salaire!H29)</f>
        <v>350126.60000000003</v>
      </c>
      <c r="E29" s="50">
        <f>salaire_brut_social(D29,données_salaire!X29,données_salaire!Y29,données_salaire!Z29,données_salaire!AA29,données_salaire!L29,données_salaire!Q29,données_salaire!S29)</f>
        <v>394566.60000000003</v>
      </c>
      <c r="F29" s="50">
        <f>salaire_brut_fiscal(E29,données_salaire!R29)</f>
        <v>394566.60000000003</v>
      </c>
      <c r="G29" s="50">
        <f t="shared" si="5"/>
        <v>20160</v>
      </c>
      <c r="H29" s="50">
        <f t="shared" si="0"/>
        <v>9469.5984000000008</v>
      </c>
      <c r="I29" s="52">
        <v>2500</v>
      </c>
      <c r="J29" s="50">
        <f t="shared" si="1"/>
        <v>4734799.2</v>
      </c>
      <c r="K29" s="50">
        <f t="shared" si="2"/>
        <v>900000</v>
      </c>
      <c r="L29" s="52"/>
      <c r="M29" s="52"/>
      <c r="N29" s="50">
        <f t="shared" si="3"/>
        <v>3834799.2</v>
      </c>
      <c r="O29" s="50">
        <f>TRIMF(données_salaire!J29,LIVRE_Paie!F29)</f>
        <v>900</v>
      </c>
      <c r="P29" s="50">
        <f>Impot_Revenu(N29,données_salaire!I29,données_salaire!J29,données_salaire!K29)</f>
        <v>62500</v>
      </c>
      <c r="Q29" s="50">
        <f>Retenus(G29,H29,données_salaire!T29,LIVRE_Paie!O29,LIVRE_Paie!P29,données_salaire!U29,données_salaire!V29)</f>
        <v>95529.598400000003</v>
      </c>
      <c r="R29" s="50">
        <f t="shared" si="4"/>
        <v>299037.00160000002</v>
      </c>
      <c r="S29" s="52"/>
      <c r="T29" s="50">
        <f>Net_a_payer(R29,données_salaire!S29)</f>
        <v>299037</v>
      </c>
    </row>
    <row r="30" spans="1:20" x14ac:dyDescent="0.25">
      <c r="A30" s="2" t="s">
        <v>180</v>
      </c>
      <c r="B30" s="2" t="s">
        <v>181</v>
      </c>
      <c r="C30" s="2" t="s">
        <v>182</v>
      </c>
      <c r="D30" s="50">
        <f>salaire_base(données_salaire!H30)</f>
        <v>469897.63000000006</v>
      </c>
      <c r="E30" s="50">
        <f>salaire_brut_social(D30,données_salaire!X30,données_salaire!Y30,données_salaire!Z30,données_salaire!AA30,données_salaire!L30,données_salaire!Q30,données_salaire!S30)</f>
        <v>479897.63000000006</v>
      </c>
      <c r="F30" s="50">
        <f>salaire_brut_fiscal(E30,données_salaire!R30)</f>
        <v>497397.63000000006</v>
      </c>
      <c r="G30" s="50">
        <f t="shared" si="5"/>
        <v>20160</v>
      </c>
      <c r="H30" s="50">
        <f t="shared" si="0"/>
        <v>11517.543120000002</v>
      </c>
      <c r="I30" s="52"/>
      <c r="J30" s="50">
        <f t="shared" si="1"/>
        <v>5968771.5600000005</v>
      </c>
      <c r="K30" s="50">
        <f t="shared" si="2"/>
        <v>900000</v>
      </c>
      <c r="L30" s="52"/>
      <c r="M30" s="52"/>
      <c r="N30" s="50">
        <f t="shared" si="3"/>
        <v>5068771.5600000005</v>
      </c>
      <c r="O30" s="50">
        <f>TRIMF(données_salaire!J30,LIVRE_Paie!F30)</f>
        <v>900</v>
      </c>
      <c r="P30" s="50">
        <f>Impot_Revenu(N30,données_salaire!I30,données_salaire!J30,données_salaire!K30)</f>
        <v>116666.66666666667</v>
      </c>
      <c r="Q30" s="50">
        <f>Retenus(G30,H30,données_salaire!T30,LIVRE_Paie!O30,LIVRE_Paie!P30,données_salaire!U30,données_salaire!V30)</f>
        <v>149244.20978666667</v>
      </c>
      <c r="R30" s="50">
        <f t="shared" si="4"/>
        <v>348153.42021333339</v>
      </c>
      <c r="S30" s="52"/>
      <c r="T30" s="50">
        <f>Net_a_payer(R30,données_salaire!S30)</f>
        <v>348153</v>
      </c>
    </row>
    <row r="31" spans="1:20" x14ac:dyDescent="0.25">
      <c r="A31" s="2" t="s">
        <v>184</v>
      </c>
      <c r="B31" s="2" t="s">
        <v>185</v>
      </c>
      <c r="C31" s="2" t="s">
        <v>186</v>
      </c>
      <c r="D31" s="50">
        <f>salaire_base(données_salaire!H31)</f>
        <v>469897.63000000006</v>
      </c>
      <c r="E31" s="50">
        <f>salaire_brut_social(D31,données_salaire!X31,données_salaire!Y31,données_salaire!Z31,données_salaire!AA31,données_salaire!L31,données_salaire!Q31,données_salaire!S31)</f>
        <v>477897.63000000006</v>
      </c>
      <c r="F31" s="50">
        <f>salaire_brut_fiscal(E31,données_salaire!R31)</f>
        <v>477897.63000000006</v>
      </c>
      <c r="G31" s="50">
        <f t="shared" si="5"/>
        <v>20160</v>
      </c>
      <c r="H31" s="50">
        <f t="shared" si="0"/>
        <v>11469.543120000002</v>
      </c>
      <c r="I31" s="52">
        <v>3000</v>
      </c>
      <c r="J31" s="50">
        <f t="shared" si="1"/>
        <v>5734771.5600000005</v>
      </c>
      <c r="K31" s="50">
        <f t="shared" si="2"/>
        <v>900000</v>
      </c>
      <c r="L31" s="52">
        <v>12500</v>
      </c>
      <c r="M31" s="52"/>
      <c r="N31" s="50">
        <f t="shared" si="3"/>
        <v>4834771.5600000005</v>
      </c>
      <c r="O31" s="50">
        <f>TRIMF(données_salaire!J31,LIVRE_Paie!F31)</f>
        <v>3600</v>
      </c>
      <c r="P31" s="50">
        <f>Impot_Revenu(N31,données_salaire!I31,données_salaire!J31,données_salaire!K31)</f>
        <v>116666.66666666667</v>
      </c>
      <c r="Q31" s="50">
        <f>Retenus(G31,H31,données_salaire!T31,LIVRE_Paie!O31,LIVRE_Paie!P31,données_salaire!U31,données_salaire!V31)</f>
        <v>167396.20978666667</v>
      </c>
      <c r="R31" s="50">
        <f t="shared" si="4"/>
        <v>310501.42021333339</v>
      </c>
      <c r="S31" s="52"/>
      <c r="T31" s="50">
        <f>Net_a_payer(R31,données_salaire!S31)</f>
        <v>310501</v>
      </c>
    </row>
    <row r="32" spans="1:20" x14ac:dyDescent="0.25">
      <c r="A32" s="2" t="s">
        <v>189</v>
      </c>
      <c r="B32" s="2" t="s">
        <v>190</v>
      </c>
      <c r="C32" s="2" t="s">
        <v>191</v>
      </c>
      <c r="D32" s="50">
        <f>salaire_base(données_salaire!H32)</f>
        <v>469897.63000000006</v>
      </c>
      <c r="E32" s="50">
        <f>salaire_brut_social(D32,données_salaire!X32,données_salaire!Y32,données_salaire!Z32,données_salaire!AA32,données_salaire!L32,données_salaire!Q32,données_salaire!S32)</f>
        <v>489897.63000000006</v>
      </c>
      <c r="F32" s="50">
        <f>salaire_brut_fiscal(E32,données_salaire!R32)</f>
        <v>499897.63000000006</v>
      </c>
      <c r="G32" s="50">
        <f t="shared" si="5"/>
        <v>20160</v>
      </c>
      <c r="H32" s="50">
        <f t="shared" si="0"/>
        <v>11757.543120000002</v>
      </c>
      <c r="I32" s="52"/>
      <c r="J32" s="50">
        <f t="shared" si="1"/>
        <v>5998771.5600000005</v>
      </c>
      <c r="K32" s="50">
        <f t="shared" si="2"/>
        <v>900000</v>
      </c>
      <c r="L32" s="52"/>
      <c r="M32" s="52"/>
      <c r="N32" s="50">
        <f t="shared" si="3"/>
        <v>5098771.5600000005</v>
      </c>
      <c r="O32" s="50">
        <f>TRIMF(données_salaire!J32,LIVRE_Paie!F32)</f>
        <v>1800</v>
      </c>
      <c r="P32" s="50">
        <f>Impot_Revenu(N32,données_salaire!I32,données_salaire!J32,données_salaire!K32)</f>
        <v>116666.66666666667</v>
      </c>
      <c r="Q32" s="50">
        <f>Retenus(G32,H32,données_salaire!T32,LIVRE_Paie!O32,LIVRE_Paie!P32,données_salaire!U32,données_salaire!V32)</f>
        <v>150384.20978666667</v>
      </c>
      <c r="R32" s="50">
        <f t="shared" si="4"/>
        <v>349513.42021333339</v>
      </c>
      <c r="S32" s="52">
        <v>20000</v>
      </c>
      <c r="T32" s="50">
        <f>Net_a_payer(R32,données_salaire!S32)</f>
        <v>369513</v>
      </c>
    </row>
    <row r="33" spans="1:20" x14ac:dyDescent="0.25">
      <c r="A33" s="2" t="s">
        <v>193</v>
      </c>
      <c r="B33" s="2" t="s">
        <v>194</v>
      </c>
      <c r="C33" s="2" t="s">
        <v>195</v>
      </c>
      <c r="D33" s="50">
        <f>salaire_base(données_salaire!H33)</f>
        <v>350126.60000000003</v>
      </c>
      <c r="E33" s="50">
        <f>salaire_brut_social(D33,données_salaire!X33,données_salaire!Y33,données_salaire!Z33,données_salaire!AA33,données_salaire!L33,données_salaire!Q33,données_salaire!S33)</f>
        <v>362246.60000000003</v>
      </c>
      <c r="F33" s="50">
        <f>salaire_brut_fiscal(E33,données_salaire!R33)</f>
        <v>362246.60000000003</v>
      </c>
      <c r="G33" s="50">
        <f t="shared" si="5"/>
        <v>20160</v>
      </c>
      <c r="H33" s="50">
        <f t="shared" si="0"/>
        <v>8693.9184000000005</v>
      </c>
      <c r="I33" s="52">
        <v>3000</v>
      </c>
      <c r="J33" s="50">
        <f t="shared" si="1"/>
        <v>4346959.2</v>
      </c>
      <c r="K33" s="50">
        <f t="shared" si="2"/>
        <v>900000</v>
      </c>
      <c r="L33" s="52"/>
      <c r="M33" s="52"/>
      <c r="N33" s="50">
        <f t="shared" si="3"/>
        <v>3446959.2</v>
      </c>
      <c r="O33" s="50">
        <f>TRIMF(données_salaire!J33,LIVRE_Paie!F33)</f>
        <v>1800</v>
      </c>
      <c r="P33" s="50">
        <f>Impot_Revenu(N33,données_salaire!I33,données_salaire!J33,données_salaire!K33)</f>
        <v>62500</v>
      </c>
      <c r="Q33" s="50">
        <f>Retenus(G33,H33,données_salaire!T33,LIVRE_Paie!O33,LIVRE_Paie!P33,données_salaire!U33,données_salaire!V33)</f>
        <v>96153.918399999995</v>
      </c>
      <c r="R33" s="50">
        <f t="shared" si="4"/>
        <v>266092.68160000001</v>
      </c>
      <c r="S33" s="52"/>
      <c r="T33" s="50">
        <f>Net_a_payer(R33,données_salaire!S33)</f>
        <v>266093</v>
      </c>
    </row>
    <row r="34" spans="1:20" x14ac:dyDescent="0.25">
      <c r="A34" s="2" t="s">
        <v>197</v>
      </c>
      <c r="B34" s="2" t="s">
        <v>198</v>
      </c>
      <c r="C34" s="2" t="s">
        <v>199</v>
      </c>
      <c r="D34" s="50">
        <f>salaire_base(données_salaire!H34)</f>
        <v>350126.60000000003</v>
      </c>
      <c r="E34" s="50">
        <f>salaire_brut_social(D34,données_salaire!X34,données_salaire!Y34,données_salaire!Z34,données_salaire!AA34,données_salaire!L34,données_salaire!Q34,données_salaire!S34)</f>
        <v>374366.60000000003</v>
      </c>
      <c r="F34" s="50">
        <f>salaire_brut_fiscal(E34,données_salaire!R34)</f>
        <v>374366.60000000003</v>
      </c>
      <c r="G34" s="50">
        <f t="shared" si="5"/>
        <v>20160</v>
      </c>
      <c r="H34" s="50">
        <f t="shared" ref="H34:H51" si="6">regime_cadre(E34)</f>
        <v>8984.7984000000015</v>
      </c>
      <c r="I34" s="52">
        <v>3000</v>
      </c>
      <c r="J34" s="50">
        <f t="shared" ref="J34:J51" si="7">revenu_annuel(F34)</f>
        <v>4492399.2</v>
      </c>
      <c r="K34" s="50">
        <f t="shared" ref="K34:K51" si="8">abattement(J34)</f>
        <v>900000</v>
      </c>
      <c r="L34" s="52"/>
      <c r="M34" s="52"/>
      <c r="N34" s="50">
        <f t="shared" ref="N34:N51" si="9">revenu_annuel_imposable(J34,K34)</f>
        <v>3592399.2</v>
      </c>
      <c r="O34" s="50">
        <f>TRIMF(données_salaire!J34,LIVRE_Paie!F34)</f>
        <v>1800</v>
      </c>
      <c r="P34" s="50">
        <f>Impot_Revenu(N34,données_salaire!I34,données_salaire!J34,données_salaire!K34)</f>
        <v>62500</v>
      </c>
      <c r="Q34" s="50">
        <f>Retenus(G34,H34,données_salaire!T34,LIVRE_Paie!O34,LIVRE_Paie!P34,données_salaire!U34,données_salaire!V34)</f>
        <v>96444.7984</v>
      </c>
      <c r="R34" s="50">
        <f t="shared" ref="R34:R51" si="10">Salaire_Net(F34,Q34)</f>
        <v>277921.80160000001</v>
      </c>
      <c r="S34" s="52"/>
      <c r="T34" s="50">
        <f>Net_a_payer(R34,données_salaire!S34)</f>
        <v>277922</v>
      </c>
    </row>
    <row r="35" spans="1:20" x14ac:dyDescent="0.25">
      <c r="A35" s="2" t="s">
        <v>201</v>
      </c>
      <c r="B35" s="2" t="s">
        <v>202</v>
      </c>
      <c r="C35" s="2" t="s">
        <v>203</v>
      </c>
      <c r="D35" s="50">
        <f>salaire_base(données_salaire!H35)</f>
        <v>350126.60000000003</v>
      </c>
      <c r="E35" s="50">
        <f>salaire_brut_social(D35,données_salaire!X35,données_salaire!Y35,données_salaire!Z35,données_salaire!AA35,données_salaire!L35,données_salaire!Q35,données_salaire!S35)</f>
        <v>393710.60000000003</v>
      </c>
      <c r="F35" s="50">
        <f>salaire_brut_fiscal(E35,données_salaire!R35)</f>
        <v>408210.60000000003</v>
      </c>
      <c r="G35" s="50">
        <f t="shared" si="5"/>
        <v>20160</v>
      </c>
      <c r="H35" s="50">
        <f t="shared" si="6"/>
        <v>9449.0544000000009</v>
      </c>
      <c r="I35" s="52"/>
      <c r="J35" s="50">
        <f t="shared" si="7"/>
        <v>4898527.2</v>
      </c>
      <c r="K35" s="50">
        <f t="shared" si="8"/>
        <v>900000</v>
      </c>
      <c r="L35" s="52">
        <v>10000</v>
      </c>
      <c r="M35" s="52"/>
      <c r="N35" s="50">
        <f t="shared" si="9"/>
        <v>3998527.2</v>
      </c>
      <c r="O35" s="50">
        <f>TRIMF(données_salaire!J35,LIVRE_Paie!F35)</f>
        <v>900</v>
      </c>
      <c r="P35" s="50">
        <f>Impot_Revenu(N35,données_salaire!I35,données_salaire!J35,données_salaire!K35)</f>
        <v>62500</v>
      </c>
      <c r="Q35" s="50">
        <f>Retenus(G35,H35,données_salaire!T35,LIVRE_Paie!O35,LIVRE_Paie!P35,données_salaire!U35,données_salaire!V35)</f>
        <v>103009.05439999999</v>
      </c>
      <c r="R35" s="50">
        <f t="shared" si="10"/>
        <v>305201.54560000007</v>
      </c>
      <c r="S35" s="52">
        <v>25000</v>
      </c>
      <c r="T35" s="50">
        <f>Net_a_payer(R35,données_salaire!S35)</f>
        <v>330202</v>
      </c>
    </row>
    <row r="36" spans="1:20" x14ac:dyDescent="0.25">
      <c r="A36" s="2" t="s">
        <v>205</v>
      </c>
      <c r="B36" s="2" t="s">
        <v>206</v>
      </c>
      <c r="C36" s="2" t="s">
        <v>207</v>
      </c>
      <c r="D36" s="50">
        <f>salaire_base(données_salaire!H36)</f>
        <v>350126.60000000003</v>
      </c>
      <c r="E36" s="50">
        <f>salaire_brut_social(D36,données_salaire!X36,données_salaire!Y36,données_salaire!Z36,données_salaire!AA36,données_salaire!L36,données_salaire!Q36,données_salaire!S36)</f>
        <v>358206.60000000003</v>
      </c>
      <c r="F36" s="50">
        <f>salaire_brut_fiscal(E36,données_salaire!R36)</f>
        <v>358206.60000000003</v>
      </c>
      <c r="G36" s="50">
        <f t="shared" si="5"/>
        <v>20059.569600000003</v>
      </c>
      <c r="H36" s="50">
        <f t="shared" si="6"/>
        <v>8596.9584000000013</v>
      </c>
      <c r="I36" s="52"/>
      <c r="J36" s="50">
        <f t="shared" si="7"/>
        <v>4298479.2</v>
      </c>
      <c r="K36" s="50">
        <f t="shared" si="8"/>
        <v>900000</v>
      </c>
      <c r="L36" s="52"/>
      <c r="M36" s="52"/>
      <c r="N36" s="50">
        <f t="shared" si="9"/>
        <v>3398479.2</v>
      </c>
      <c r="O36" s="50">
        <f>TRIMF(données_salaire!J36,LIVRE_Paie!F36)</f>
        <v>2700</v>
      </c>
      <c r="P36" s="50">
        <f>Impot_Revenu(N36,données_salaire!I36,données_salaire!J36,données_salaire!K36)</f>
        <v>62500</v>
      </c>
      <c r="Q36" s="50">
        <f>Retenus(G36,H36,données_salaire!T36,LIVRE_Paie!O36,LIVRE_Paie!P36,données_salaire!U36,données_salaire!V36)</f>
        <v>93856.528000000006</v>
      </c>
      <c r="R36" s="50">
        <f t="shared" si="10"/>
        <v>264350.07200000004</v>
      </c>
      <c r="S36" s="52"/>
      <c r="T36" s="50">
        <f>Net_a_payer(R36,données_salaire!S36)</f>
        <v>264350</v>
      </c>
    </row>
    <row r="37" spans="1:20" x14ac:dyDescent="0.25">
      <c r="A37" s="2" t="s">
        <v>210</v>
      </c>
      <c r="B37" s="2" t="s">
        <v>211</v>
      </c>
      <c r="C37" s="2" t="s">
        <v>212</v>
      </c>
      <c r="D37" s="50">
        <f>salaire_base(données_salaire!H37)</f>
        <v>350126.60000000003</v>
      </c>
      <c r="E37" s="50">
        <f>salaire_brut_social(D37,données_salaire!X37,données_salaire!Y37,données_salaire!Z37,données_salaire!AA37,données_salaire!L37,données_salaire!Q37,données_salaire!S37)</f>
        <v>366286.60000000003</v>
      </c>
      <c r="F37" s="50">
        <f>salaire_brut_fiscal(E37,données_salaire!R37)</f>
        <v>366286.60000000003</v>
      </c>
      <c r="G37" s="50">
        <f t="shared" si="5"/>
        <v>20160</v>
      </c>
      <c r="H37" s="50">
        <f t="shared" si="6"/>
        <v>8790.8784000000014</v>
      </c>
      <c r="I37" s="52"/>
      <c r="J37" s="50">
        <f t="shared" si="7"/>
        <v>4395439.2</v>
      </c>
      <c r="K37" s="50">
        <f t="shared" si="8"/>
        <v>900000</v>
      </c>
      <c r="L37" s="52">
        <v>13000</v>
      </c>
      <c r="M37" s="52"/>
      <c r="N37" s="50">
        <f t="shared" si="9"/>
        <v>3495439.2</v>
      </c>
      <c r="O37" s="50">
        <f>TRIMF(données_salaire!J37,LIVRE_Paie!F37)</f>
        <v>1800</v>
      </c>
      <c r="P37" s="50">
        <f>Impot_Revenu(N37,données_salaire!I37,données_salaire!J37,données_salaire!K37)</f>
        <v>62500</v>
      </c>
      <c r="Q37" s="50">
        <f>Retenus(G37,H37,données_salaire!T37,LIVRE_Paie!O37,LIVRE_Paie!P37,données_salaire!U37,données_salaire!V37)</f>
        <v>106250.8784</v>
      </c>
      <c r="R37" s="50">
        <f t="shared" si="10"/>
        <v>260035.72160000005</v>
      </c>
      <c r="S37" s="52"/>
      <c r="T37" s="50">
        <f>Net_a_payer(R37,données_salaire!S37)</f>
        <v>260036</v>
      </c>
    </row>
    <row r="38" spans="1:20" x14ac:dyDescent="0.25">
      <c r="A38" s="2" t="s">
        <v>215</v>
      </c>
      <c r="B38" s="2" t="s">
        <v>195</v>
      </c>
      <c r="C38" s="2" t="s">
        <v>216</v>
      </c>
      <c r="D38" s="50">
        <f>salaire_base(données_salaire!H38)</f>
        <v>240062.05000000002</v>
      </c>
      <c r="E38" s="50">
        <f>salaire_brut_social(D38,données_salaire!X38,données_salaire!Y38,données_salaire!Z38,données_salaire!AA38,données_salaire!L38,données_salaire!Q38,données_salaire!S38)</f>
        <v>250062.05000000002</v>
      </c>
      <c r="F38" s="50">
        <f>salaire_brut_fiscal(E38,données_salaire!R38)</f>
        <v>250062.05000000002</v>
      </c>
      <c r="G38" s="50">
        <f t="shared" si="5"/>
        <v>14003.474800000002</v>
      </c>
      <c r="H38" s="50">
        <f t="shared" si="6"/>
        <v>6001.4892000000009</v>
      </c>
      <c r="I38" s="52">
        <v>3000</v>
      </c>
      <c r="J38" s="50">
        <f t="shared" si="7"/>
        <v>3000744.6</v>
      </c>
      <c r="K38" s="50">
        <f t="shared" si="8"/>
        <v>900000</v>
      </c>
      <c r="L38" s="52"/>
      <c r="M38" s="52"/>
      <c r="N38" s="50">
        <f t="shared" si="9"/>
        <v>2100744.6</v>
      </c>
      <c r="O38" s="50">
        <f>TRIMF(données_salaire!J38,LIVRE_Paie!F38)</f>
        <v>900</v>
      </c>
      <c r="P38" s="50">
        <f>Impot_Revenu(N38,données_salaire!I38,données_salaire!J38,données_salaire!K38)</f>
        <v>62500</v>
      </c>
      <c r="Q38" s="50">
        <f>Retenus(G38,H38,données_salaire!T38,LIVRE_Paie!O38,LIVRE_Paie!P38,données_salaire!U38,données_salaire!V38)</f>
        <v>86404.964000000007</v>
      </c>
      <c r="R38" s="50">
        <f t="shared" si="10"/>
        <v>163657.08600000001</v>
      </c>
      <c r="S38" s="52"/>
      <c r="T38" s="50">
        <f>Net_a_payer(R38,données_salaire!S38)</f>
        <v>163657</v>
      </c>
    </row>
    <row r="39" spans="1:20" x14ac:dyDescent="0.25">
      <c r="A39" s="2" t="s">
        <v>217</v>
      </c>
      <c r="B39" s="2" t="s">
        <v>218</v>
      </c>
      <c r="C39" s="2" t="s">
        <v>216</v>
      </c>
      <c r="D39" s="50">
        <f>salaire_base(données_salaire!H39)</f>
        <v>469897.63000000006</v>
      </c>
      <c r="E39" s="50">
        <f>salaire_brut_social(D39,données_salaire!X39,données_salaire!Y39,données_salaire!Z39,données_salaire!AA39,données_salaire!L39,données_salaire!Q39,données_salaire!S39)</f>
        <v>479897.63000000006</v>
      </c>
      <c r="F39" s="50">
        <f>salaire_brut_fiscal(E39,données_salaire!R39)</f>
        <v>494897.63000000006</v>
      </c>
      <c r="G39" s="50">
        <f t="shared" si="5"/>
        <v>20160</v>
      </c>
      <c r="H39" s="50">
        <f t="shared" si="6"/>
        <v>11517.543120000002</v>
      </c>
      <c r="I39" s="52"/>
      <c r="J39" s="50">
        <f t="shared" si="7"/>
        <v>5938771.5600000005</v>
      </c>
      <c r="K39" s="50">
        <f t="shared" si="8"/>
        <v>900000</v>
      </c>
      <c r="L39" s="52">
        <v>10000</v>
      </c>
      <c r="M39" s="52"/>
      <c r="N39" s="50">
        <f t="shared" si="9"/>
        <v>5038771.5600000005</v>
      </c>
      <c r="O39" s="50">
        <f>TRIMF(données_salaire!J39,LIVRE_Paie!F39)</f>
        <v>900</v>
      </c>
      <c r="P39" s="50">
        <f>Impot_Revenu(N39,données_salaire!I39,données_salaire!J39,données_salaire!K39)</f>
        <v>116666.66666666667</v>
      </c>
      <c r="Q39" s="50">
        <f>Retenus(G39,H39,données_salaire!T39,LIVRE_Paie!O39,LIVRE_Paie!P39,données_salaire!U39,données_salaire!V39)</f>
        <v>159244.20978666667</v>
      </c>
      <c r="R39" s="50">
        <f t="shared" si="10"/>
        <v>335653.42021333339</v>
      </c>
      <c r="S39" s="52"/>
      <c r="T39" s="50">
        <f>Net_a_payer(R39,données_salaire!S39)</f>
        <v>335653</v>
      </c>
    </row>
    <row r="40" spans="1:20" x14ac:dyDescent="0.25">
      <c r="A40" s="2" t="s">
        <v>220</v>
      </c>
      <c r="B40" s="2" t="s">
        <v>221</v>
      </c>
      <c r="C40" s="2" t="s">
        <v>222</v>
      </c>
      <c r="D40" s="50">
        <f>salaire_base(données_salaire!H40)</f>
        <v>240062.05000000002</v>
      </c>
      <c r="E40" s="50">
        <f>salaire_brut_social(D40,données_salaire!X40,données_salaire!Y40,données_salaire!Z40,données_salaire!AA40,données_salaire!L40,données_salaire!Q40,données_salaire!S40)</f>
        <v>240062.05000000002</v>
      </c>
      <c r="F40" s="50">
        <f>salaire_brut_fiscal(E40,données_salaire!R40)</f>
        <v>240062.05000000002</v>
      </c>
      <c r="G40" s="50">
        <f t="shared" si="5"/>
        <v>13443.474800000002</v>
      </c>
      <c r="H40" s="50">
        <f t="shared" si="6"/>
        <v>5761.4892000000009</v>
      </c>
      <c r="I40" s="52"/>
      <c r="J40" s="50">
        <f t="shared" si="7"/>
        <v>2880744.6</v>
      </c>
      <c r="K40" s="50">
        <f t="shared" si="8"/>
        <v>864223.38</v>
      </c>
      <c r="L40" s="52"/>
      <c r="M40" s="52"/>
      <c r="N40" s="50">
        <f t="shared" si="9"/>
        <v>2016521.2200000002</v>
      </c>
      <c r="O40" s="50">
        <f>TRIMF(données_salaire!J40,LIVRE_Paie!F40)</f>
        <v>900</v>
      </c>
      <c r="P40" s="50">
        <f>Impot_Revenu(N40,données_salaire!I40,données_salaire!J40,données_salaire!K40)</f>
        <v>62500</v>
      </c>
      <c r="Q40" s="50">
        <f>Retenus(G40,H40,données_salaire!T40,LIVRE_Paie!O40,LIVRE_Paie!P40,données_salaire!U40,données_salaire!V40)</f>
        <v>82604.964000000007</v>
      </c>
      <c r="R40" s="50">
        <f t="shared" si="10"/>
        <v>157457.08600000001</v>
      </c>
      <c r="S40" s="52"/>
      <c r="T40" s="50">
        <f>Net_a_payer(R40,données_salaire!S40)</f>
        <v>157457</v>
      </c>
    </row>
    <row r="41" spans="1:20" x14ac:dyDescent="0.25">
      <c r="A41" s="2" t="s">
        <v>224</v>
      </c>
      <c r="B41" s="2" t="s">
        <v>225</v>
      </c>
      <c r="C41" s="2" t="s">
        <v>222</v>
      </c>
      <c r="D41" s="50">
        <f>salaire_base(données_salaire!H41)</f>
        <v>240062.05000000002</v>
      </c>
      <c r="E41" s="50">
        <f>salaire_brut_social(D41,données_salaire!X41,données_salaire!Y41,données_salaire!Z41,données_salaire!AA41,données_salaire!L41,données_salaire!Q41,données_salaire!S41)</f>
        <v>262499.05</v>
      </c>
      <c r="F41" s="50">
        <f>salaire_brut_fiscal(E41,données_salaire!R41)</f>
        <v>262499.05</v>
      </c>
      <c r="G41" s="50">
        <f t="shared" si="5"/>
        <v>14699.9468</v>
      </c>
      <c r="H41" s="50">
        <f t="shared" si="6"/>
        <v>6299.9772000000003</v>
      </c>
      <c r="I41" s="52">
        <v>5000</v>
      </c>
      <c r="J41" s="50">
        <f t="shared" si="7"/>
        <v>3149988.5999999996</v>
      </c>
      <c r="K41" s="50">
        <f t="shared" si="8"/>
        <v>900000</v>
      </c>
      <c r="L41" s="52"/>
      <c r="M41" s="52"/>
      <c r="N41" s="50">
        <f t="shared" si="9"/>
        <v>2249988.5999999996</v>
      </c>
      <c r="O41" s="50">
        <f>TRIMF(données_salaire!J41,LIVRE_Paie!F41)</f>
        <v>900</v>
      </c>
      <c r="P41" s="50">
        <f>Impot_Revenu(N41,données_salaire!I41,données_salaire!J41,données_salaire!K41)</f>
        <v>62500</v>
      </c>
      <c r="Q41" s="50">
        <f>Retenus(G41,H41,données_salaire!T41,LIVRE_Paie!O41,LIVRE_Paie!P41,données_salaire!U41,données_salaire!V41)</f>
        <v>89399.923999999999</v>
      </c>
      <c r="R41" s="50">
        <f t="shared" si="10"/>
        <v>173099.12599999999</v>
      </c>
      <c r="S41" s="52"/>
      <c r="T41" s="50">
        <f>Net_a_payer(R41,données_salaire!S41)</f>
        <v>173099</v>
      </c>
    </row>
    <row r="42" spans="1:20" x14ac:dyDescent="0.25">
      <c r="A42" s="2" t="s">
        <v>227</v>
      </c>
      <c r="B42" s="2" t="s">
        <v>228</v>
      </c>
      <c r="C42" s="2" t="s">
        <v>229</v>
      </c>
      <c r="D42" s="50">
        <f>salaire_base(données_salaire!H42)</f>
        <v>469897.63000000006</v>
      </c>
      <c r="E42" s="50">
        <f>salaire_brut_social(D42,données_salaire!X42,données_salaire!Y42,données_salaire!Z42,données_salaire!AA42,données_salaire!L42,données_salaire!Q42,données_salaire!S42)</f>
        <v>469897.63000000006</v>
      </c>
      <c r="F42" s="50">
        <f>salaire_brut_fiscal(E42,données_salaire!R42)</f>
        <v>524897.63000000012</v>
      </c>
      <c r="G42" s="50">
        <f t="shared" si="5"/>
        <v>20160</v>
      </c>
      <c r="H42" s="50">
        <f t="shared" si="6"/>
        <v>11277.543120000002</v>
      </c>
      <c r="I42" s="52">
        <v>2500</v>
      </c>
      <c r="J42" s="50">
        <f t="shared" si="7"/>
        <v>6298771.5600000015</v>
      </c>
      <c r="K42" s="50">
        <f t="shared" si="8"/>
        <v>900000</v>
      </c>
      <c r="L42" s="52"/>
      <c r="M42" s="52">
        <v>30000</v>
      </c>
      <c r="N42" s="50">
        <f t="shared" si="9"/>
        <v>5398771.5600000015</v>
      </c>
      <c r="O42" s="50">
        <f>TRIMF(données_salaire!J42,LIVRE_Paie!F42)</f>
        <v>900</v>
      </c>
      <c r="P42" s="50">
        <f>Impot_Revenu(N42,données_salaire!I42,données_salaire!J42,données_salaire!K42)</f>
        <v>116666.66666666667</v>
      </c>
      <c r="Q42" s="50">
        <f>Retenus(G42,H42,données_salaire!T42,LIVRE_Paie!O42,LIVRE_Paie!P42,données_salaire!U42,données_salaire!V42)</f>
        <v>181504.20978666667</v>
      </c>
      <c r="R42" s="50">
        <f t="shared" si="10"/>
        <v>343393.42021333345</v>
      </c>
      <c r="S42" s="52"/>
      <c r="T42" s="50">
        <f>Net_a_payer(R42,données_salaire!S42)</f>
        <v>343393</v>
      </c>
    </row>
    <row r="43" spans="1:20" x14ac:dyDescent="0.25">
      <c r="A43" s="2" t="s">
        <v>231</v>
      </c>
      <c r="B43" s="2" t="s">
        <v>232</v>
      </c>
      <c r="C43" s="2" t="s">
        <v>233</v>
      </c>
      <c r="D43" s="50">
        <f>salaire_base(données_salaire!H43)</f>
        <v>240062.05000000002</v>
      </c>
      <c r="E43" s="50">
        <f>salaire_brut_social(D43,données_salaire!X43,données_salaire!Y43,données_salaire!Z43,données_salaire!AA43,données_salaire!L43,données_salaire!Q43,données_salaire!S43)</f>
        <v>240062.05000000002</v>
      </c>
      <c r="F43" s="50">
        <f>salaire_brut_fiscal(E43,données_salaire!R43)</f>
        <v>240062.05000000002</v>
      </c>
      <c r="G43" s="50">
        <f t="shared" si="5"/>
        <v>13443.474800000002</v>
      </c>
      <c r="H43" s="50">
        <f t="shared" si="6"/>
        <v>5761.4892000000009</v>
      </c>
      <c r="I43" s="52"/>
      <c r="J43" s="50">
        <f t="shared" si="7"/>
        <v>2880744.6</v>
      </c>
      <c r="K43" s="50">
        <f t="shared" si="8"/>
        <v>864223.38</v>
      </c>
      <c r="L43" s="52">
        <v>10000</v>
      </c>
      <c r="M43" s="52"/>
      <c r="N43" s="50">
        <f t="shared" si="9"/>
        <v>2016521.2200000002</v>
      </c>
      <c r="O43" s="50">
        <f>TRIMF(données_salaire!J43,LIVRE_Paie!F43)</f>
        <v>2700</v>
      </c>
      <c r="P43" s="50">
        <f>Impot_Revenu(N43,données_salaire!I43,données_salaire!J43,données_salaire!K43)</f>
        <v>62500</v>
      </c>
      <c r="Q43" s="50">
        <f>Retenus(G43,H43,données_salaire!T43,LIVRE_Paie!O43,LIVRE_Paie!P43,données_salaire!U43,données_salaire!V43)</f>
        <v>94404.964000000007</v>
      </c>
      <c r="R43" s="50">
        <f t="shared" si="10"/>
        <v>145657.08600000001</v>
      </c>
      <c r="S43" s="52"/>
      <c r="T43" s="50">
        <f>Net_a_payer(R43,données_salaire!S43)</f>
        <v>145657</v>
      </c>
    </row>
    <row r="44" spans="1:20" x14ac:dyDescent="0.25">
      <c r="A44" s="2" t="s">
        <v>235</v>
      </c>
      <c r="B44" s="2" t="s">
        <v>236</v>
      </c>
      <c r="C44" s="2" t="s">
        <v>237</v>
      </c>
      <c r="D44" s="50">
        <f>salaire_base(données_salaire!H44)</f>
        <v>240062.05000000002</v>
      </c>
      <c r="E44" s="50">
        <f>salaire_brut_social(D44,données_salaire!X44,données_salaire!Y44,données_salaire!Z44,données_salaire!AA44,données_salaire!L44,données_salaire!Q44,données_salaire!S44)</f>
        <v>290809.05</v>
      </c>
      <c r="F44" s="50">
        <f>salaire_brut_fiscal(E44,données_salaire!R44)</f>
        <v>290809.05</v>
      </c>
      <c r="G44" s="50">
        <f t="shared" si="5"/>
        <v>16285.3068</v>
      </c>
      <c r="H44" s="50">
        <f t="shared" si="6"/>
        <v>6979.4171999999999</v>
      </c>
      <c r="I44" s="52"/>
      <c r="J44" s="50">
        <f t="shared" si="7"/>
        <v>3489708.5999999996</v>
      </c>
      <c r="K44" s="50">
        <f t="shared" si="8"/>
        <v>900000</v>
      </c>
      <c r="L44" s="52"/>
      <c r="M44" s="52"/>
      <c r="N44" s="50">
        <f t="shared" si="9"/>
        <v>2589708.5999999996</v>
      </c>
      <c r="O44" s="50">
        <f>TRIMF(données_salaire!J44,LIVRE_Paie!F44)</f>
        <v>1800</v>
      </c>
      <c r="P44" s="50">
        <f>Impot_Revenu(N44,données_salaire!I44,données_salaire!J44,données_salaire!K44)</f>
        <v>62500</v>
      </c>
      <c r="Q44" s="50">
        <f>Retenus(G44,H44,données_salaire!T44,LIVRE_Paie!O44,LIVRE_Paie!P44,données_salaire!U44,données_salaire!V44)</f>
        <v>87564.724000000002</v>
      </c>
      <c r="R44" s="50">
        <f t="shared" si="10"/>
        <v>203244.326</v>
      </c>
      <c r="S44" s="52">
        <v>20000</v>
      </c>
      <c r="T44" s="50">
        <f>Net_a_payer(R44,données_salaire!S44)</f>
        <v>223244</v>
      </c>
    </row>
    <row r="45" spans="1:20" x14ac:dyDescent="0.25">
      <c r="A45" s="2" t="s">
        <v>240</v>
      </c>
      <c r="B45" s="2" t="s">
        <v>241</v>
      </c>
      <c r="C45" s="2" t="s">
        <v>242</v>
      </c>
      <c r="D45" s="50">
        <f>salaire_base(données_salaire!H45)</f>
        <v>350126.60000000003</v>
      </c>
      <c r="E45" s="50">
        <f>salaire_brut_social(D45,données_salaire!X45,données_salaire!Y45,données_salaire!Z45,données_salaire!AA45,données_salaire!L45,données_salaire!Q45,données_salaire!S45)</f>
        <v>366706.60000000003</v>
      </c>
      <c r="F45" s="50">
        <f>salaire_brut_fiscal(E45,données_salaire!R45)</f>
        <v>366706.60000000003</v>
      </c>
      <c r="G45" s="50">
        <f t="shared" si="5"/>
        <v>20160</v>
      </c>
      <c r="H45" s="50">
        <f t="shared" si="6"/>
        <v>8800.9584000000013</v>
      </c>
      <c r="I45" s="52">
        <v>2500</v>
      </c>
      <c r="J45" s="50">
        <f t="shared" si="7"/>
        <v>4400479.2</v>
      </c>
      <c r="K45" s="50">
        <f t="shared" si="8"/>
        <v>900000</v>
      </c>
      <c r="L45" s="52"/>
      <c r="M45" s="52"/>
      <c r="N45" s="50">
        <f t="shared" si="9"/>
        <v>3500479.2</v>
      </c>
      <c r="O45" s="50">
        <f>TRIMF(données_salaire!J45,LIVRE_Paie!F45)</f>
        <v>1800</v>
      </c>
      <c r="P45" s="50">
        <f>Impot_Revenu(N45,données_salaire!I45,données_salaire!J45,données_salaire!K45)</f>
        <v>62500</v>
      </c>
      <c r="Q45" s="50">
        <f>Retenus(G45,H45,données_salaire!T45,LIVRE_Paie!O45,LIVRE_Paie!P45,données_salaire!U45,données_salaire!V45)</f>
        <v>95760.958400000003</v>
      </c>
      <c r="R45" s="50">
        <f t="shared" si="10"/>
        <v>270945.64160000003</v>
      </c>
      <c r="S45" s="52"/>
      <c r="T45" s="50">
        <f>Net_a_payer(R45,données_salaire!S45)</f>
        <v>270946</v>
      </c>
    </row>
    <row r="46" spans="1:20" x14ac:dyDescent="0.25">
      <c r="A46" s="2" t="s">
        <v>243</v>
      </c>
      <c r="B46" s="2" t="s">
        <v>244</v>
      </c>
      <c r="C46" s="2" t="s">
        <v>245</v>
      </c>
      <c r="D46" s="50">
        <f>salaire_base(données_salaire!H46)</f>
        <v>350126.60000000003</v>
      </c>
      <c r="E46" s="50">
        <f>salaire_brut_social(D46,données_salaire!X46,données_salaire!Y46,données_salaire!Z46,données_salaire!AA46,données_salaire!L46,données_salaire!Q46,données_salaire!S46)</f>
        <v>365126.60000000003</v>
      </c>
      <c r="F46" s="50">
        <f>salaire_brut_fiscal(E46,données_salaire!R46)</f>
        <v>396626.60000000003</v>
      </c>
      <c r="G46" s="50">
        <f t="shared" si="5"/>
        <v>20160</v>
      </c>
      <c r="H46" s="50">
        <f t="shared" si="6"/>
        <v>8763.0384000000013</v>
      </c>
      <c r="I46" s="52"/>
      <c r="J46" s="50">
        <f t="shared" si="7"/>
        <v>4759519.2</v>
      </c>
      <c r="K46" s="50">
        <f t="shared" si="8"/>
        <v>900000</v>
      </c>
      <c r="L46" s="52"/>
      <c r="M46" s="52"/>
      <c r="N46" s="50">
        <f t="shared" si="9"/>
        <v>3859519.2</v>
      </c>
      <c r="O46" s="50">
        <f>TRIMF(données_salaire!J46,LIVRE_Paie!F46)</f>
        <v>900</v>
      </c>
      <c r="P46" s="50">
        <f>Impot_Revenu(N46,données_salaire!I46,données_salaire!J46,données_salaire!K46)</f>
        <v>62500</v>
      </c>
      <c r="Q46" s="50">
        <f>Retenus(G46,H46,données_salaire!T46,LIVRE_Paie!O46,LIVRE_Paie!P46,données_salaire!U46,données_salaire!V46)</f>
        <v>92323.038400000005</v>
      </c>
      <c r="R46" s="50">
        <f t="shared" si="10"/>
        <v>304303.56160000002</v>
      </c>
      <c r="S46" s="52"/>
      <c r="T46" s="50">
        <f>Net_a_payer(R46,données_salaire!S46)</f>
        <v>304304</v>
      </c>
    </row>
    <row r="47" spans="1:20" x14ac:dyDescent="0.25">
      <c r="A47" s="2" t="s">
        <v>248</v>
      </c>
      <c r="B47" s="2" t="s">
        <v>249</v>
      </c>
      <c r="C47" s="2" t="s">
        <v>250</v>
      </c>
      <c r="D47" s="50">
        <f>salaire_base(données_salaire!H47)</f>
        <v>350126.60000000003</v>
      </c>
      <c r="E47" s="50">
        <f>salaire_brut_social(D47,données_salaire!X47,données_salaire!Y47,données_salaire!Z47,données_salaire!AA47,données_salaire!L47,données_salaire!Q47,données_salaire!S47)</f>
        <v>399010.60000000003</v>
      </c>
      <c r="F47" s="50">
        <f>salaire_brut_fiscal(E47,données_salaire!R47)</f>
        <v>399010.60000000003</v>
      </c>
      <c r="G47" s="50">
        <f t="shared" si="5"/>
        <v>20160</v>
      </c>
      <c r="H47" s="50">
        <f t="shared" si="6"/>
        <v>9576.2544000000016</v>
      </c>
      <c r="I47" s="52"/>
      <c r="J47" s="50">
        <f t="shared" si="7"/>
        <v>4788127.2</v>
      </c>
      <c r="K47" s="50">
        <f t="shared" si="8"/>
        <v>900000</v>
      </c>
      <c r="L47" s="52">
        <v>15000</v>
      </c>
      <c r="M47" s="52"/>
      <c r="N47" s="50">
        <f t="shared" si="9"/>
        <v>3888127.2</v>
      </c>
      <c r="O47" s="50">
        <f>TRIMF(données_salaire!J47,LIVRE_Paie!F47)</f>
        <v>1800</v>
      </c>
      <c r="P47" s="50">
        <f>Impot_Revenu(N47,données_salaire!I47,données_salaire!J47,données_salaire!K47)</f>
        <v>62500</v>
      </c>
      <c r="Q47" s="50">
        <f>Retenus(G47,H47,données_salaire!T47,LIVRE_Paie!O47,LIVRE_Paie!P47,données_salaire!U47,données_salaire!V47)</f>
        <v>109036.25440000001</v>
      </c>
      <c r="R47" s="50">
        <f t="shared" si="10"/>
        <v>289974.3456</v>
      </c>
      <c r="S47" s="52"/>
      <c r="T47" s="50">
        <f>Net_a_payer(R47,données_salaire!S47)</f>
        <v>289974</v>
      </c>
    </row>
    <row r="48" spans="1:20" x14ac:dyDescent="0.25">
      <c r="A48" s="2" t="s">
        <v>252</v>
      </c>
      <c r="B48" s="2" t="s">
        <v>253</v>
      </c>
      <c r="C48" s="2" t="s">
        <v>254</v>
      </c>
      <c r="D48" s="50">
        <f>salaire_base(données_salaire!H48)</f>
        <v>350126.60000000003</v>
      </c>
      <c r="E48" s="50">
        <f>salaire_brut_social(D48,données_salaire!X48,données_salaire!Y48,données_salaire!Z48,données_salaire!AA48,données_salaire!L48,données_salaire!Q48,données_salaire!S48)</f>
        <v>378406.60000000003</v>
      </c>
      <c r="F48" s="50">
        <f>salaire_brut_fiscal(E48,données_salaire!R48)</f>
        <v>403406.60000000003</v>
      </c>
      <c r="G48" s="50">
        <f t="shared" si="5"/>
        <v>20160</v>
      </c>
      <c r="H48" s="50">
        <f t="shared" si="6"/>
        <v>9081.7584000000006</v>
      </c>
      <c r="I48" s="52"/>
      <c r="J48" s="50">
        <f t="shared" si="7"/>
        <v>4840879.2</v>
      </c>
      <c r="K48" s="50">
        <f t="shared" si="8"/>
        <v>900000</v>
      </c>
      <c r="L48" s="52"/>
      <c r="M48" s="52"/>
      <c r="N48" s="50">
        <f t="shared" si="9"/>
        <v>3940879.2</v>
      </c>
      <c r="O48" s="50">
        <f>TRIMF(données_salaire!J48,LIVRE_Paie!F48)</f>
        <v>2700</v>
      </c>
      <c r="P48" s="50">
        <f>Impot_Revenu(N48,données_salaire!I48,données_salaire!J48,données_salaire!K48)</f>
        <v>62500</v>
      </c>
      <c r="Q48" s="50">
        <f>Retenus(G48,H48,données_salaire!T48,LIVRE_Paie!O48,LIVRE_Paie!P48,données_salaire!U48,données_salaire!V48)</f>
        <v>94441.758399999992</v>
      </c>
      <c r="R48" s="50">
        <f t="shared" si="10"/>
        <v>308964.84160000004</v>
      </c>
      <c r="S48" s="52"/>
      <c r="T48" s="50">
        <f>Net_a_payer(R48,données_salaire!S48)</f>
        <v>308965</v>
      </c>
    </row>
    <row r="49" spans="1:20" x14ac:dyDescent="0.25">
      <c r="A49" s="2" t="s">
        <v>256</v>
      </c>
      <c r="B49" s="2" t="s">
        <v>257</v>
      </c>
      <c r="C49" s="2" t="s">
        <v>254</v>
      </c>
      <c r="D49" s="50">
        <f>salaire_base(données_salaire!H49)</f>
        <v>350126.60000000003</v>
      </c>
      <c r="E49" s="50">
        <f>salaire_brut_social(D49,données_salaire!X49,données_salaire!Y49,données_salaire!Z49,données_salaire!AA49,données_salaire!L49,données_salaire!Q49,données_salaire!S49)</f>
        <v>389626.60000000003</v>
      </c>
      <c r="F49" s="50">
        <f>salaire_brut_fiscal(E49,données_salaire!R49)</f>
        <v>389626.60000000003</v>
      </c>
      <c r="G49" s="50">
        <f t="shared" si="5"/>
        <v>20160</v>
      </c>
      <c r="H49" s="50">
        <f t="shared" si="6"/>
        <v>9351.0384000000013</v>
      </c>
      <c r="I49" s="52">
        <v>3000</v>
      </c>
      <c r="J49" s="50">
        <f t="shared" si="7"/>
        <v>4675519.2</v>
      </c>
      <c r="K49" s="50">
        <f t="shared" si="8"/>
        <v>900000</v>
      </c>
      <c r="L49" s="52">
        <v>14500</v>
      </c>
      <c r="M49" s="52"/>
      <c r="N49" s="50">
        <f t="shared" si="9"/>
        <v>3775519.2</v>
      </c>
      <c r="O49" s="50">
        <f>TRIMF(données_salaire!J49,LIVRE_Paie!F49)</f>
        <v>900</v>
      </c>
      <c r="P49" s="50">
        <f>Impot_Revenu(N49,données_salaire!I49,données_salaire!J49,données_salaire!K49)</f>
        <v>62500</v>
      </c>
      <c r="Q49" s="50">
        <f>Retenus(G49,H49,données_salaire!T49,LIVRE_Paie!O49,LIVRE_Paie!P49,données_salaire!U49,données_salaire!V49)</f>
        <v>110411.0384</v>
      </c>
      <c r="R49" s="50">
        <f t="shared" si="10"/>
        <v>279215.56160000002</v>
      </c>
      <c r="S49" s="52">
        <v>25000</v>
      </c>
      <c r="T49" s="50">
        <f>Net_a_payer(R49,données_salaire!S49)</f>
        <v>304216</v>
      </c>
    </row>
    <row r="50" spans="1:20" x14ac:dyDescent="0.25">
      <c r="A50" s="2" t="s">
        <v>259</v>
      </c>
      <c r="B50" s="2" t="s">
        <v>260</v>
      </c>
      <c r="C50" s="2" t="s">
        <v>261</v>
      </c>
      <c r="D50" s="50">
        <f>salaire_base(données_salaire!H50)</f>
        <v>350126.60000000003</v>
      </c>
      <c r="E50" s="50">
        <f>salaire_brut_social(D50,données_salaire!X50,données_salaire!Y50,données_salaire!Z50,données_salaire!AA50,données_salaire!L50,données_salaire!Q50,données_salaire!S50)</f>
        <v>368710.60000000003</v>
      </c>
      <c r="F50" s="50">
        <f>salaire_brut_fiscal(E50,données_salaire!R50)</f>
        <v>368710.60000000003</v>
      </c>
      <c r="G50" s="50">
        <f t="shared" si="5"/>
        <v>20160</v>
      </c>
      <c r="H50" s="50">
        <f t="shared" si="6"/>
        <v>8849.0544000000009</v>
      </c>
      <c r="I50" s="52"/>
      <c r="J50" s="50">
        <f t="shared" si="7"/>
        <v>4424527.2</v>
      </c>
      <c r="K50" s="50">
        <f t="shared" si="8"/>
        <v>900000</v>
      </c>
      <c r="L50" s="52"/>
      <c r="M50" s="52"/>
      <c r="N50" s="50">
        <f t="shared" si="9"/>
        <v>3524527.2</v>
      </c>
      <c r="O50" s="50">
        <f>TRIMF(données_salaire!J50,LIVRE_Paie!F50)</f>
        <v>2700</v>
      </c>
      <c r="P50" s="50">
        <f>Impot_Revenu(N50,données_salaire!I50,données_salaire!J50,données_salaire!K50)</f>
        <v>62500</v>
      </c>
      <c r="Q50" s="50">
        <f>Retenus(G50,H50,données_salaire!T50,LIVRE_Paie!O50,LIVRE_Paie!P50,données_salaire!U50,données_salaire!V50)</f>
        <v>94209.054399999994</v>
      </c>
      <c r="R50" s="50">
        <f t="shared" si="10"/>
        <v>274501.54560000007</v>
      </c>
      <c r="S50" s="52"/>
      <c r="T50" s="50">
        <f>Net_a_payer(R50,données_salaire!S50)</f>
        <v>274502</v>
      </c>
    </row>
    <row r="51" spans="1:20" x14ac:dyDescent="0.25">
      <c r="A51" s="2" t="s">
        <v>263</v>
      </c>
      <c r="B51" s="2" t="s">
        <v>264</v>
      </c>
      <c r="C51" s="2" t="s">
        <v>265</v>
      </c>
      <c r="D51" s="50">
        <f>salaire_base(données_salaire!H51)</f>
        <v>350126.60000000003</v>
      </c>
      <c r="E51" s="50">
        <f>salaire_brut_social(D51,données_salaire!X51,données_salaire!Y51,données_salaire!Z51,données_salaire!AA51,données_salaire!L51,données_salaire!Q51,données_salaire!S51)</f>
        <v>391062.60000000003</v>
      </c>
      <c r="F51" s="50">
        <f>salaire_brut_fiscal(E51,données_salaire!R51)</f>
        <v>391062.60000000003</v>
      </c>
      <c r="G51" s="50">
        <f t="shared" si="5"/>
        <v>20160</v>
      </c>
      <c r="H51" s="50">
        <f t="shared" si="6"/>
        <v>9385.5024000000012</v>
      </c>
      <c r="I51" s="52">
        <v>3000</v>
      </c>
      <c r="J51" s="50">
        <f t="shared" si="7"/>
        <v>4692751.2</v>
      </c>
      <c r="K51" s="50">
        <f t="shared" si="8"/>
        <v>900000</v>
      </c>
      <c r="L51" s="52">
        <v>13500</v>
      </c>
      <c r="M51" s="52"/>
      <c r="N51" s="50">
        <f t="shared" si="9"/>
        <v>3792751.2</v>
      </c>
      <c r="O51" s="50">
        <f>TRIMF(données_salaire!J51,LIVRE_Paie!F51)</f>
        <v>900</v>
      </c>
      <c r="P51" s="50">
        <f>Impot_Revenu(N51,données_salaire!I51,données_salaire!J51,données_salaire!K51)</f>
        <v>62500</v>
      </c>
      <c r="Q51" s="50">
        <f>Retenus(G51,H51,données_salaire!T51,LIVRE_Paie!O51,LIVRE_Paie!P51,données_salaire!U51,données_salaire!V51)</f>
        <v>109445.5024</v>
      </c>
      <c r="R51" s="50">
        <f t="shared" si="10"/>
        <v>281617.09760000004</v>
      </c>
      <c r="S51" s="52"/>
      <c r="T51" s="50">
        <f>Net_a_payer(R51,données_salaire!S51)</f>
        <v>281617</v>
      </c>
    </row>
    <row r="52" spans="1:20" ht="18.75" x14ac:dyDescent="0.3">
      <c r="A52" s="21" t="s">
        <v>303</v>
      </c>
      <c r="B52" s="21"/>
      <c r="C52" s="21"/>
      <c r="D52" s="51">
        <f>SUM(D2:D51)</f>
        <v>16952713.98</v>
      </c>
      <c r="E52" s="51">
        <f t="shared" ref="E52:T52" si="11">SUM(E2:E51)</f>
        <v>18210295.980000008</v>
      </c>
      <c r="F52" s="51">
        <f t="shared" si="11"/>
        <v>18691295.980000012</v>
      </c>
      <c r="G52" s="51">
        <f t="shared" si="11"/>
        <v>916238.51480000012</v>
      </c>
      <c r="H52" s="51">
        <f t="shared" si="11"/>
        <v>437047.10352000018</v>
      </c>
      <c r="I52" s="51">
        <f t="shared" si="11"/>
        <v>74500</v>
      </c>
      <c r="J52" s="51">
        <f t="shared" si="11"/>
        <v>224295551.75999984</v>
      </c>
      <c r="K52" s="51">
        <f t="shared" si="11"/>
        <v>44856893.520000003</v>
      </c>
      <c r="L52" s="51">
        <f t="shared" ref="L52" si="12">SUM(L2:L51)</f>
        <v>291000</v>
      </c>
      <c r="M52" s="51">
        <f t="shared" ref="M52" si="13">SUM(M2:M51)</f>
        <v>65000</v>
      </c>
      <c r="N52" s="51">
        <f t="shared" si="11"/>
        <v>179438658.23999992</v>
      </c>
      <c r="O52" s="51">
        <f t="shared" si="11"/>
        <v>77400</v>
      </c>
      <c r="P52" s="51">
        <f t="shared" si="11"/>
        <v>3937499.9999999991</v>
      </c>
      <c r="Q52" s="51">
        <f t="shared" si="11"/>
        <v>5798685.6183199976</v>
      </c>
      <c r="R52" s="51">
        <f t="shared" si="11"/>
        <v>12892610.361680001</v>
      </c>
      <c r="S52" s="51">
        <f t="shared" si="11"/>
        <v>202000</v>
      </c>
      <c r="T52" s="51">
        <f t="shared" si="11"/>
        <v>13094608</v>
      </c>
    </row>
    <row r="53" spans="1:20" x14ac:dyDescent="0.25"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3"/>
  </sheetPr>
  <dimension ref="A1:I32"/>
  <sheetViews>
    <sheetView showGridLines="0" zoomScale="98" zoomScaleNormal="98" workbookViewId="0">
      <selection activeCell="K6" sqref="K6"/>
    </sheetView>
  </sheetViews>
  <sheetFormatPr baseColWidth="10" defaultRowHeight="15" x14ac:dyDescent="0.25"/>
  <cols>
    <col min="1" max="1" width="15.85546875" customWidth="1"/>
    <col min="2" max="2" width="12.7109375" customWidth="1"/>
    <col min="3" max="3" width="18" customWidth="1"/>
    <col min="4" max="4" width="14.140625" customWidth="1"/>
    <col min="5" max="5" width="23.5703125" customWidth="1"/>
    <col min="6" max="6" width="5.140625" customWidth="1"/>
    <col min="7" max="7" width="3.85546875" customWidth="1"/>
    <col min="8" max="8" width="2.85546875" customWidth="1"/>
    <col min="9" max="9" width="20.85546875" customWidth="1"/>
  </cols>
  <sheetData>
    <row r="1" spans="1:9" x14ac:dyDescent="0.25">
      <c r="F1" s="2"/>
    </row>
    <row r="2" spans="1:9" ht="15.75" customHeight="1" x14ac:dyDescent="0.25">
      <c r="A2" s="73" t="s">
        <v>65</v>
      </c>
      <c r="B2" s="73"/>
      <c r="C2" s="73"/>
      <c r="D2" s="73"/>
      <c r="E2" s="73"/>
      <c r="G2" s="4"/>
      <c r="H2" s="4"/>
      <c r="I2" s="4"/>
    </row>
    <row r="3" spans="1:9" ht="15.75" customHeight="1" x14ac:dyDescent="0.25">
      <c r="A3" s="73"/>
      <c r="B3" s="73"/>
      <c r="C3" s="73"/>
      <c r="D3" s="73"/>
      <c r="E3" s="73"/>
      <c r="G3" s="53" t="s">
        <v>309</v>
      </c>
      <c r="H3" s="4"/>
      <c r="I3" s="4"/>
    </row>
    <row r="4" spans="1:9" x14ac:dyDescent="0.25">
      <c r="A4" s="14" t="s">
        <v>66</v>
      </c>
      <c r="B4" s="55" t="s">
        <v>125</v>
      </c>
      <c r="C4" s="55"/>
      <c r="D4" s="15" t="s">
        <v>7</v>
      </c>
      <c r="E4" s="16" t="s">
        <v>24</v>
      </c>
      <c r="G4" s="4"/>
      <c r="H4" s="4"/>
      <c r="I4" s="5"/>
    </row>
    <row r="5" spans="1:9" x14ac:dyDescent="0.25">
      <c r="A5" s="14" t="s">
        <v>3</v>
      </c>
      <c r="B5" s="54" t="s">
        <v>127</v>
      </c>
      <c r="C5" s="54"/>
      <c r="D5" s="54"/>
      <c r="E5" s="54"/>
      <c r="G5" s="4"/>
      <c r="H5" s="4"/>
      <c r="I5" s="5"/>
    </row>
    <row r="6" spans="1:9" x14ac:dyDescent="0.25">
      <c r="A6" s="14" t="s">
        <v>2</v>
      </c>
      <c r="B6" s="54" t="s">
        <v>126</v>
      </c>
      <c r="C6" s="54"/>
      <c r="D6" s="54"/>
      <c r="E6" s="54"/>
      <c r="G6" s="4"/>
      <c r="H6" s="4"/>
      <c r="I6" s="5"/>
    </row>
    <row r="7" spans="1:9" x14ac:dyDescent="0.25">
      <c r="A7" s="14" t="s">
        <v>296</v>
      </c>
      <c r="B7" s="17" t="s">
        <v>128</v>
      </c>
      <c r="C7" s="15"/>
      <c r="D7" s="15" t="s">
        <v>297</v>
      </c>
      <c r="E7" s="15" t="s">
        <v>129</v>
      </c>
      <c r="G7" s="4"/>
      <c r="H7" s="4"/>
      <c r="I7" s="5"/>
    </row>
    <row r="8" spans="1:9" x14ac:dyDescent="0.25">
      <c r="A8" s="14" t="s">
        <v>82</v>
      </c>
      <c r="B8" s="54" t="s">
        <v>28</v>
      </c>
      <c r="C8" s="54"/>
      <c r="D8" s="54"/>
      <c r="E8" s="54"/>
      <c r="G8" s="4"/>
      <c r="H8" s="4"/>
      <c r="I8" s="5"/>
    </row>
    <row r="9" spans="1:9" x14ac:dyDescent="0.25">
      <c r="A9" s="15" t="s">
        <v>298</v>
      </c>
      <c r="B9" s="55">
        <v>1</v>
      </c>
      <c r="C9" s="55"/>
      <c r="D9" s="15" t="s">
        <v>83</v>
      </c>
      <c r="E9" s="18">
        <v>4</v>
      </c>
      <c r="I9" s="5"/>
    </row>
    <row r="10" spans="1:9" x14ac:dyDescent="0.25">
      <c r="A10" s="67"/>
      <c r="B10" s="68"/>
      <c r="C10" s="68"/>
      <c r="D10" s="68"/>
      <c r="E10" s="69"/>
      <c r="I10" s="5"/>
    </row>
    <row r="11" spans="1:9" ht="26.25" customHeight="1" x14ac:dyDescent="0.25">
      <c r="A11" s="70"/>
      <c r="B11" s="71"/>
      <c r="C11" s="71"/>
      <c r="D11" s="71"/>
      <c r="E11" s="72"/>
      <c r="I11" s="5"/>
    </row>
    <row r="12" spans="1:9" x14ac:dyDescent="0.25">
      <c r="A12" s="55" t="s">
        <v>27</v>
      </c>
      <c r="B12" s="55"/>
      <c r="C12" s="58" t="s">
        <v>307</v>
      </c>
      <c r="D12" s="54"/>
      <c r="E12" s="54"/>
      <c r="I12" s="5"/>
    </row>
    <row r="13" spans="1:9" x14ac:dyDescent="0.25">
      <c r="A13" s="65" t="s">
        <v>299</v>
      </c>
      <c r="B13" s="66"/>
      <c r="C13" s="54">
        <v>12742</v>
      </c>
      <c r="D13" s="54"/>
      <c r="E13" s="54"/>
    </row>
    <row r="14" spans="1:9" x14ac:dyDescent="0.25">
      <c r="A14" s="65" t="s">
        <v>300</v>
      </c>
      <c r="B14" s="66"/>
      <c r="C14" s="54">
        <v>0</v>
      </c>
      <c r="D14" s="54"/>
      <c r="E14" s="54"/>
      <c r="I14" s="5"/>
    </row>
    <row r="15" spans="1:9" x14ac:dyDescent="0.25">
      <c r="A15" s="65" t="s">
        <v>301</v>
      </c>
      <c r="B15" s="66"/>
      <c r="C15" s="54">
        <v>0</v>
      </c>
      <c r="D15" s="54"/>
      <c r="E15" s="54"/>
    </row>
    <row r="16" spans="1:9" x14ac:dyDescent="0.25">
      <c r="A16" s="65" t="s">
        <v>302</v>
      </c>
      <c r="B16" s="66"/>
      <c r="C16" s="54">
        <v>16620</v>
      </c>
      <c r="D16" s="54"/>
      <c r="E16" s="54"/>
    </row>
    <row r="17" spans="1:5" x14ac:dyDescent="0.25">
      <c r="A17" s="55" t="s">
        <v>11</v>
      </c>
      <c r="B17" s="55"/>
      <c r="C17" s="54"/>
      <c r="D17" s="54"/>
      <c r="E17" s="54"/>
    </row>
    <row r="18" spans="1:5" x14ac:dyDescent="0.25">
      <c r="A18" s="55" t="s">
        <v>74</v>
      </c>
      <c r="B18" s="55"/>
      <c r="C18" s="54">
        <v>10000</v>
      </c>
      <c r="D18" s="54"/>
      <c r="E18" s="54"/>
    </row>
    <row r="19" spans="1:5" x14ac:dyDescent="0.25">
      <c r="A19" s="55" t="s">
        <v>67</v>
      </c>
      <c r="B19" s="55"/>
      <c r="C19" s="58" t="s">
        <v>308</v>
      </c>
      <c r="D19" s="54"/>
      <c r="E19" s="54"/>
    </row>
    <row r="20" spans="1:5" x14ac:dyDescent="0.25">
      <c r="A20" s="55" t="s">
        <v>68</v>
      </c>
      <c r="B20" s="55"/>
      <c r="C20" s="54"/>
      <c r="D20" s="54"/>
      <c r="E20" s="54"/>
    </row>
    <row r="21" spans="1:5" x14ac:dyDescent="0.25">
      <c r="A21" s="55" t="s">
        <v>69</v>
      </c>
      <c r="B21" s="55"/>
      <c r="C21" s="59" t="s">
        <v>308</v>
      </c>
      <c r="D21" s="60"/>
      <c r="E21" s="60"/>
    </row>
    <row r="22" spans="1:5" x14ac:dyDescent="0.25">
      <c r="A22" s="74" t="s">
        <v>75</v>
      </c>
      <c r="B22" s="74"/>
      <c r="C22" s="15" t="s">
        <v>70</v>
      </c>
      <c r="D22" s="57">
        <v>15647.746800000001</v>
      </c>
      <c r="E22" s="54"/>
    </row>
    <row r="23" spans="1:5" x14ac:dyDescent="0.25">
      <c r="A23" s="74"/>
      <c r="B23" s="74"/>
      <c r="C23" s="15" t="s">
        <v>71</v>
      </c>
      <c r="D23" s="57">
        <v>6706.1772000000001</v>
      </c>
      <c r="E23" s="54"/>
    </row>
    <row r="24" spans="1:5" x14ac:dyDescent="0.25">
      <c r="A24" s="74"/>
      <c r="B24" s="74"/>
      <c r="C24" s="19" t="s">
        <v>19</v>
      </c>
      <c r="D24" s="56"/>
      <c r="E24" s="56"/>
    </row>
    <row r="25" spans="1:5" x14ac:dyDescent="0.25">
      <c r="A25" s="74"/>
      <c r="B25" s="74"/>
      <c r="C25" s="20" t="s">
        <v>72</v>
      </c>
      <c r="D25" s="54">
        <v>1800</v>
      </c>
      <c r="E25" s="54"/>
    </row>
    <row r="26" spans="1:5" x14ac:dyDescent="0.25">
      <c r="A26" s="74"/>
      <c r="B26" s="74"/>
      <c r="C26" s="20" t="s">
        <v>73</v>
      </c>
      <c r="D26" s="57">
        <v>62500</v>
      </c>
      <c r="E26" s="54"/>
    </row>
    <row r="27" spans="1:5" x14ac:dyDescent="0.25">
      <c r="A27" s="74"/>
      <c r="B27" s="74"/>
      <c r="C27" s="20" t="s">
        <v>270</v>
      </c>
      <c r="D27" s="55"/>
      <c r="E27" s="55"/>
    </row>
    <row r="28" spans="1:5" x14ac:dyDescent="0.25">
      <c r="A28" s="74"/>
      <c r="B28" s="74"/>
      <c r="C28" s="20" t="s">
        <v>306</v>
      </c>
      <c r="D28" s="55"/>
      <c r="E28" s="55"/>
    </row>
    <row r="29" spans="1:5" x14ac:dyDescent="0.25">
      <c r="A29" s="55" t="s">
        <v>76</v>
      </c>
      <c r="B29" s="55"/>
      <c r="C29" s="61">
        <v>86653.923999999999</v>
      </c>
      <c r="D29" s="62"/>
      <c r="E29" s="62"/>
    </row>
    <row r="30" spans="1:5" x14ac:dyDescent="0.25">
      <c r="A30" s="55" t="s">
        <v>77</v>
      </c>
      <c r="B30" s="55"/>
      <c r="C30" s="61">
        <v>192770.12599999999</v>
      </c>
      <c r="D30" s="62"/>
      <c r="E30" s="62"/>
    </row>
    <row r="31" spans="1:5" x14ac:dyDescent="0.25">
      <c r="A31" s="55" t="s">
        <v>78</v>
      </c>
      <c r="B31" s="55"/>
      <c r="C31" s="62"/>
      <c r="D31" s="62"/>
      <c r="E31" s="62"/>
    </row>
    <row r="32" spans="1:5" x14ac:dyDescent="0.25">
      <c r="A32" s="55" t="s">
        <v>79</v>
      </c>
      <c r="B32" s="55"/>
      <c r="C32" s="63">
        <v>192770</v>
      </c>
      <c r="D32" s="64"/>
      <c r="E32" s="64"/>
    </row>
  </sheetData>
  <mergeCells count="43">
    <mergeCell ref="A10:E11"/>
    <mergeCell ref="A2:E3"/>
    <mergeCell ref="B5:E5"/>
    <mergeCell ref="A22:B28"/>
    <mergeCell ref="A20:B20"/>
    <mergeCell ref="A21:B21"/>
    <mergeCell ref="C13:E13"/>
    <mergeCell ref="C14:E14"/>
    <mergeCell ref="C15:E15"/>
    <mergeCell ref="C16:E16"/>
    <mergeCell ref="B6:E6"/>
    <mergeCell ref="B4:C4"/>
    <mergeCell ref="C12:E12"/>
    <mergeCell ref="D22:E22"/>
    <mergeCell ref="D23:E23"/>
    <mergeCell ref="A12:B12"/>
    <mergeCell ref="A18:B18"/>
    <mergeCell ref="A13:B13"/>
    <mergeCell ref="A14:B14"/>
    <mergeCell ref="A15:B15"/>
    <mergeCell ref="A16:B16"/>
    <mergeCell ref="A32:B32"/>
    <mergeCell ref="C29:E29"/>
    <mergeCell ref="C30:E30"/>
    <mergeCell ref="C31:E31"/>
    <mergeCell ref="C32:E32"/>
    <mergeCell ref="A29:B29"/>
    <mergeCell ref="B8:E8"/>
    <mergeCell ref="B9:C9"/>
    <mergeCell ref="A30:B30"/>
    <mergeCell ref="A31:B31"/>
    <mergeCell ref="D24:E24"/>
    <mergeCell ref="D25:E25"/>
    <mergeCell ref="D26:E26"/>
    <mergeCell ref="D27:E27"/>
    <mergeCell ref="D28:E28"/>
    <mergeCell ref="C17:E17"/>
    <mergeCell ref="C18:E18"/>
    <mergeCell ref="C19:E19"/>
    <mergeCell ref="C20:E20"/>
    <mergeCell ref="C21:E21"/>
    <mergeCell ref="A19:B19"/>
    <mergeCell ref="A17:B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lletin_salaire_Bouton1_Cliquer" altText="IMPRIMER ">
                <anchor moveWithCells="1" sizeWithCells="1">
                  <from>
                    <xdr:col>5</xdr:col>
                    <xdr:colOff>257175</xdr:colOff>
                    <xdr:row>4</xdr:row>
                    <xdr:rowOff>66675</xdr:rowOff>
                  </from>
                  <to>
                    <xdr:col>8</xdr:col>
                    <xdr:colOff>428625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6" tint="-0.249977111117893"/>
  </sheetPr>
  <dimension ref="B3:H25"/>
  <sheetViews>
    <sheetView showGridLines="0" workbookViewId="0">
      <selection activeCell="G13" sqref="G13"/>
    </sheetView>
  </sheetViews>
  <sheetFormatPr baseColWidth="10" defaultRowHeight="15" x14ac:dyDescent="0.25"/>
  <cols>
    <col min="1" max="1" width="5.5703125" customWidth="1"/>
    <col min="6" max="6" width="18" customWidth="1"/>
  </cols>
  <sheetData>
    <row r="3" spans="2:8" ht="15.75" x14ac:dyDescent="0.25">
      <c r="B3" s="22" t="s">
        <v>268</v>
      </c>
      <c r="C3" s="23"/>
      <c r="D3" s="24"/>
      <c r="E3" s="25"/>
      <c r="F3" s="24"/>
      <c r="G3" s="24"/>
      <c r="H3" s="26"/>
    </row>
    <row r="4" spans="2:8" x14ac:dyDescent="0.25">
      <c r="B4" s="27" t="s">
        <v>269</v>
      </c>
      <c r="C4" s="23"/>
      <c r="D4" s="24"/>
      <c r="E4" s="25"/>
      <c r="F4" s="24"/>
      <c r="G4" s="27" t="s">
        <v>304</v>
      </c>
      <c r="H4" s="28" t="s">
        <v>305</v>
      </c>
    </row>
    <row r="5" spans="2:8" x14ac:dyDescent="0.25">
      <c r="B5" s="29">
        <v>421</v>
      </c>
      <c r="C5" s="30"/>
      <c r="D5" s="31" t="s">
        <v>270</v>
      </c>
      <c r="E5" s="32"/>
      <c r="F5" s="31"/>
      <c r="G5" s="32">
        <f>LIVRE_Paie!L52</f>
        <v>291000</v>
      </c>
      <c r="H5" s="33"/>
    </row>
    <row r="6" spans="2:8" x14ac:dyDescent="0.25">
      <c r="B6" s="34"/>
      <c r="C6" s="35" t="s">
        <v>271</v>
      </c>
      <c r="D6" s="36"/>
      <c r="E6" s="37" t="s">
        <v>272</v>
      </c>
      <c r="F6" s="36"/>
      <c r="G6" s="37"/>
      <c r="H6" s="38">
        <f>G5</f>
        <v>291000</v>
      </c>
    </row>
    <row r="7" spans="2:8" x14ac:dyDescent="0.25">
      <c r="B7" s="24"/>
      <c r="C7" s="23"/>
      <c r="D7" s="24"/>
      <c r="E7" s="25"/>
      <c r="F7" s="24"/>
      <c r="G7" s="25"/>
      <c r="H7" s="26"/>
    </row>
    <row r="8" spans="2:8" x14ac:dyDescent="0.25">
      <c r="B8" s="27" t="s">
        <v>273</v>
      </c>
      <c r="C8" s="23"/>
      <c r="D8" s="24"/>
      <c r="E8" s="25"/>
      <c r="F8" s="24"/>
      <c r="G8" s="25"/>
      <c r="H8" s="26"/>
    </row>
    <row r="9" spans="2:8" x14ac:dyDescent="0.25">
      <c r="B9" s="29" t="s">
        <v>274</v>
      </c>
      <c r="C9" s="30"/>
      <c r="D9" s="31" t="s">
        <v>275</v>
      </c>
      <c r="E9" s="32"/>
      <c r="F9" s="31"/>
      <c r="G9" s="32">
        <f>LIVRE_Paie!E52</f>
        <v>18210295.980000008</v>
      </c>
      <c r="H9" s="33"/>
    </row>
    <row r="10" spans="2:8" x14ac:dyDescent="0.25">
      <c r="B10" s="39">
        <v>663</v>
      </c>
      <c r="C10" s="40"/>
      <c r="D10" s="41" t="s">
        <v>276</v>
      </c>
      <c r="E10" s="42"/>
      <c r="F10" s="41"/>
      <c r="G10" s="42">
        <f>LIVRE_Paie!S52</f>
        <v>202000</v>
      </c>
      <c r="H10" s="43"/>
    </row>
    <row r="11" spans="2:8" x14ac:dyDescent="0.25">
      <c r="B11" s="34"/>
      <c r="C11" s="35">
        <v>422</v>
      </c>
      <c r="D11" s="36"/>
      <c r="E11" s="37" t="s">
        <v>277</v>
      </c>
      <c r="F11" s="36"/>
      <c r="G11" s="37"/>
      <c r="H11" s="38">
        <f>G9+G10</f>
        <v>18412295.980000008</v>
      </c>
    </row>
    <row r="12" spans="2:8" x14ac:dyDescent="0.25">
      <c r="B12" s="24"/>
      <c r="C12" s="23"/>
      <c r="D12" s="24"/>
      <c r="E12" s="25"/>
      <c r="F12" s="24"/>
      <c r="G12" s="25"/>
      <c r="H12" s="26"/>
    </row>
    <row r="13" spans="2:8" x14ac:dyDescent="0.25">
      <c r="B13" s="29">
        <v>422</v>
      </c>
      <c r="C13" s="30"/>
      <c r="D13" s="31" t="s">
        <v>277</v>
      </c>
      <c r="E13" s="32"/>
      <c r="F13" s="31"/>
      <c r="G13" s="32">
        <f>LIVRE_Paie!Q52</f>
        <v>5798685.6183199976</v>
      </c>
      <c r="H13" s="33"/>
    </row>
    <row r="14" spans="2:8" x14ac:dyDescent="0.25">
      <c r="B14" s="39"/>
      <c r="C14" s="40">
        <v>421</v>
      </c>
      <c r="D14" s="41"/>
      <c r="E14" s="42" t="s">
        <v>270</v>
      </c>
      <c r="F14" s="41"/>
      <c r="G14" s="42"/>
      <c r="H14" s="43">
        <f>LIVRE_Paie!L52</f>
        <v>291000</v>
      </c>
    </row>
    <row r="15" spans="2:8" x14ac:dyDescent="0.25">
      <c r="B15" s="39"/>
      <c r="C15" s="40">
        <v>4313</v>
      </c>
      <c r="D15" s="41"/>
      <c r="E15" s="42" t="s">
        <v>278</v>
      </c>
      <c r="F15" s="41"/>
      <c r="G15" s="42"/>
      <c r="H15" s="43">
        <f>LIVRE_Paie!G52</f>
        <v>916238.51480000012</v>
      </c>
    </row>
    <row r="16" spans="2:8" x14ac:dyDescent="0.25">
      <c r="B16" s="39"/>
      <c r="C16" s="40">
        <v>4314</v>
      </c>
      <c r="D16" s="41"/>
      <c r="E16" s="42" t="s">
        <v>279</v>
      </c>
      <c r="F16" s="41"/>
      <c r="G16" s="42"/>
      <c r="H16" s="43">
        <f>LIVRE_Paie!H52</f>
        <v>437047.10352000018</v>
      </c>
    </row>
    <row r="17" spans="2:8" x14ac:dyDescent="0.25">
      <c r="B17" s="39"/>
      <c r="C17" s="40">
        <v>4331</v>
      </c>
      <c r="D17" s="41"/>
      <c r="E17" s="42" t="s">
        <v>280</v>
      </c>
      <c r="F17" s="41"/>
      <c r="G17" s="42"/>
      <c r="H17" s="43">
        <f>LIVRE_Paie!I52</f>
        <v>74500</v>
      </c>
    </row>
    <row r="18" spans="2:8" x14ac:dyDescent="0.25">
      <c r="B18" s="39"/>
      <c r="C18" s="40">
        <v>447</v>
      </c>
      <c r="D18" s="41"/>
      <c r="E18" s="42" t="s">
        <v>281</v>
      </c>
      <c r="F18" s="41"/>
      <c r="G18" s="42"/>
      <c r="H18" s="43">
        <f>LIVRE_Paie!O52+LIVRE_Paie!P52</f>
        <v>4014899.9999999991</v>
      </c>
    </row>
    <row r="19" spans="2:8" x14ac:dyDescent="0.25">
      <c r="B19" s="34"/>
      <c r="C19" s="35">
        <v>423</v>
      </c>
      <c r="D19" s="36"/>
      <c r="E19" s="37" t="s">
        <v>21</v>
      </c>
      <c r="F19" s="36"/>
      <c r="G19" s="37"/>
      <c r="H19" s="38">
        <f>LIVRE_Paie!M52</f>
        <v>65000</v>
      </c>
    </row>
    <row r="20" spans="2:8" x14ac:dyDescent="0.25">
      <c r="B20" s="24"/>
      <c r="C20" s="23"/>
      <c r="D20" s="24"/>
      <c r="E20" s="25"/>
      <c r="F20" s="24"/>
      <c r="G20" s="25"/>
      <c r="H20" s="26"/>
    </row>
    <row r="21" spans="2:8" x14ac:dyDescent="0.25">
      <c r="B21" s="27" t="s">
        <v>282</v>
      </c>
      <c r="C21" s="23"/>
      <c r="D21" s="24"/>
      <c r="E21" s="25"/>
      <c r="F21" s="24"/>
      <c r="G21" s="25"/>
      <c r="H21" s="26"/>
    </row>
    <row r="22" spans="2:8" x14ac:dyDescent="0.25">
      <c r="B22" s="29">
        <v>422</v>
      </c>
      <c r="C22" s="30"/>
      <c r="D22" s="31" t="s">
        <v>283</v>
      </c>
      <c r="E22" s="32"/>
      <c r="F22" s="31"/>
      <c r="G22" s="32">
        <f>LIVRE_Paie!R52</f>
        <v>12892610.361680001</v>
      </c>
      <c r="H22" s="33"/>
    </row>
    <row r="23" spans="2:8" x14ac:dyDescent="0.25">
      <c r="B23" s="39">
        <v>423</v>
      </c>
      <c r="C23" s="40"/>
      <c r="D23" s="41" t="s">
        <v>21</v>
      </c>
      <c r="E23" s="42"/>
      <c r="F23" s="41"/>
      <c r="G23" s="42">
        <f>LIVRE_Paie!M52</f>
        <v>65000</v>
      </c>
      <c r="H23" s="43"/>
    </row>
    <row r="24" spans="2:8" x14ac:dyDescent="0.25">
      <c r="B24" s="34"/>
      <c r="C24" s="35" t="s">
        <v>271</v>
      </c>
      <c r="D24" s="36"/>
      <c r="E24" s="37" t="s">
        <v>272</v>
      </c>
      <c r="F24" s="36"/>
      <c r="G24" s="37"/>
      <c r="H24" s="38">
        <f>G22+G23</f>
        <v>12957610.361680001</v>
      </c>
    </row>
    <row r="25" spans="2:8" x14ac:dyDescent="0.25">
      <c r="B25" s="7"/>
      <c r="C25" s="6"/>
      <c r="D25" s="7"/>
      <c r="E25" s="8"/>
      <c r="F25" s="7"/>
      <c r="G25" s="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FF0000"/>
  </sheetPr>
  <dimension ref="B1:U51"/>
  <sheetViews>
    <sheetView showGridLines="0" workbookViewId="0">
      <selection activeCell="V10" sqref="V10"/>
    </sheetView>
  </sheetViews>
  <sheetFormatPr baseColWidth="10" defaultRowHeight="15" x14ac:dyDescent="0.25"/>
  <cols>
    <col min="2" max="2" width="10.85546875" style="3" customWidth="1"/>
    <col min="3" max="3" width="11.7109375" style="3" customWidth="1"/>
    <col min="4" max="4" width="11.7109375" customWidth="1"/>
    <col min="6" max="6" width="9" customWidth="1"/>
    <col min="8" max="8" width="18.140625" customWidth="1"/>
    <col min="9" max="9" width="11.42578125" customWidth="1"/>
    <col min="12" max="12" width="22.140625" customWidth="1"/>
    <col min="14" max="14" width="11.85546875" bestFit="1" customWidth="1"/>
    <col min="15" max="15" width="12.7109375" customWidth="1"/>
    <col min="17" max="17" width="20.28515625" customWidth="1"/>
    <col min="19" max="19" width="9.140625" customWidth="1"/>
    <col min="20" max="20" width="16.85546875" customWidth="1"/>
  </cols>
  <sheetData>
    <row r="1" spans="2:21" ht="15.75" x14ac:dyDescent="0.25">
      <c r="B1" s="9" t="s">
        <v>6</v>
      </c>
      <c r="C1" s="3" t="s">
        <v>7</v>
      </c>
      <c r="D1" t="s">
        <v>8</v>
      </c>
    </row>
    <row r="2" spans="2:21" ht="15.75" x14ac:dyDescent="0.25">
      <c r="B2" s="9" t="s">
        <v>26</v>
      </c>
      <c r="C2" s="3" t="s">
        <v>23</v>
      </c>
      <c r="D2" t="s">
        <v>28</v>
      </c>
    </row>
    <row r="3" spans="2:21" ht="15.75" x14ac:dyDescent="0.25">
      <c r="B3" s="9" t="s">
        <v>26</v>
      </c>
      <c r="C3" s="3" t="s">
        <v>23</v>
      </c>
      <c r="D3" t="s">
        <v>29</v>
      </c>
    </row>
    <row r="4" spans="2:21" ht="22.5" x14ac:dyDescent="0.45">
      <c r="B4" s="9" t="s">
        <v>26</v>
      </c>
      <c r="C4" s="3" t="s">
        <v>23</v>
      </c>
      <c r="D4" t="s">
        <v>28</v>
      </c>
      <c r="T4" s="12" t="s">
        <v>288</v>
      </c>
    </row>
    <row r="5" spans="2:21" ht="15.75" x14ac:dyDescent="0.25">
      <c r="B5" s="9" t="s">
        <v>26</v>
      </c>
      <c r="C5" s="3" t="s">
        <v>24</v>
      </c>
      <c r="D5" t="s">
        <v>28</v>
      </c>
      <c r="G5" s="10" t="s">
        <v>6</v>
      </c>
      <c r="H5" t="s">
        <v>284</v>
      </c>
      <c r="K5" s="10" t="s">
        <v>7</v>
      </c>
      <c r="L5" t="s">
        <v>285</v>
      </c>
      <c r="P5" s="10" t="s">
        <v>8</v>
      </c>
      <c r="Q5" t="s">
        <v>286</v>
      </c>
    </row>
    <row r="6" spans="2:21" ht="15.75" x14ac:dyDescent="0.25">
      <c r="B6" s="9" t="s">
        <v>26</v>
      </c>
      <c r="C6" s="3" t="s">
        <v>24</v>
      </c>
      <c r="D6" t="s">
        <v>29</v>
      </c>
      <c r="G6" t="s">
        <v>25</v>
      </c>
      <c r="H6" s="11">
        <v>12</v>
      </c>
      <c r="K6" t="s">
        <v>22</v>
      </c>
      <c r="L6" s="11">
        <v>11</v>
      </c>
      <c r="P6" t="s">
        <v>29</v>
      </c>
      <c r="Q6" s="11">
        <v>20</v>
      </c>
      <c r="T6" s="13" t="s">
        <v>289</v>
      </c>
      <c r="U6" s="13">
        <v>31</v>
      </c>
    </row>
    <row r="7" spans="2:21" ht="15.75" x14ac:dyDescent="0.25">
      <c r="B7" s="9" t="s">
        <v>26</v>
      </c>
      <c r="C7" s="3" t="s">
        <v>24</v>
      </c>
      <c r="D7" t="s">
        <v>29</v>
      </c>
      <c r="G7" t="s">
        <v>26</v>
      </c>
      <c r="H7" s="11">
        <v>38</v>
      </c>
      <c r="K7" t="s">
        <v>23</v>
      </c>
      <c r="L7" s="11">
        <v>22</v>
      </c>
      <c r="P7" t="s">
        <v>28</v>
      </c>
      <c r="Q7" s="11">
        <v>30</v>
      </c>
      <c r="T7" s="13" t="s">
        <v>290</v>
      </c>
      <c r="U7" s="13">
        <v>19</v>
      </c>
    </row>
    <row r="8" spans="2:21" ht="15.75" x14ac:dyDescent="0.25">
      <c r="B8" s="9" t="s">
        <v>25</v>
      </c>
      <c r="C8" s="3" t="s">
        <v>22</v>
      </c>
      <c r="D8" t="s">
        <v>28</v>
      </c>
      <c r="K8" t="s">
        <v>24</v>
      </c>
      <c r="L8" s="11">
        <v>17</v>
      </c>
    </row>
    <row r="9" spans="2:21" ht="15.75" x14ac:dyDescent="0.25">
      <c r="B9" s="9" t="s">
        <v>25</v>
      </c>
      <c r="C9" s="3" t="s">
        <v>22</v>
      </c>
      <c r="D9" t="s">
        <v>29</v>
      </c>
    </row>
    <row r="10" spans="2:21" ht="15.75" x14ac:dyDescent="0.25">
      <c r="B10" s="9" t="s">
        <v>26</v>
      </c>
      <c r="C10" s="3" t="s">
        <v>22</v>
      </c>
      <c r="D10" t="s">
        <v>28</v>
      </c>
    </row>
    <row r="11" spans="2:21" ht="15.75" x14ac:dyDescent="0.25">
      <c r="B11" s="9" t="s">
        <v>26</v>
      </c>
      <c r="C11" s="3" t="s">
        <v>22</v>
      </c>
      <c r="D11" t="s">
        <v>29</v>
      </c>
    </row>
    <row r="12" spans="2:21" ht="15.75" x14ac:dyDescent="0.25">
      <c r="B12" s="9" t="s">
        <v>25</v>
      </c>
      <c r="C12" s="3" t="s">
        <v>23</v>
      </c>
      <c r="D12" t="s">
        <v>29</v>
      </c>
    </row>
    <row r="13" spans="2:21" ht="15.75" x14ac:dyDescent="0.25">
      <c r="B13" s="9" t="s">
        <v>26</v>
      </c>
      <c r="C13" s="3" t="s">
        <v>23</v>
      </c>
      <c r="D13" t="s">
        <v>29</v>
      </c>
    </row>
    <row r="14" spans="2:21" ht="15.75" x14ac:dyDescent="0.25">
      <c r="B14" s="9" t="s">
        <v>25</v>
      </c>
      <c r="C14" s="3" t="s">
        <v>23</v>
      </c>
      <c r="D14" t="s">
        <v>29</v>
      </c>
    </row>
    <row r="15" spans="2:21" ht="15.75" x14ac:dyDescent="0.25">
      <c r="B15" s="9" t="s">
        <v>26</v>
      </c>
      <c r="C15" s="3" t="s">
        <v>24</v>
      </c>
      <c r="D15" t="s">
        <v>29</v>
      </c>
    </row>
    <row r="16" spans="2:21" ht="15.75" x14ac:dyDescent="0.25">
      <c r="B16" s="9" t="s">
        <v>26</v>
      </c>
      <c r="C16" s="3" t="s">
        <v>24</v>
      </c>
      <c r="D16" t="s">
        <v>29</v>
      </c>
    </row>
    <row r="17" spans="2:17" ht="15.75" x14ac:dyDescent="0.25">
      <c r="B17" s="9" t="s">
        <v>26</v>
      </c>
      <c r="C17" s="3" t="s">
        <v>24</v>
      </c>
      <c r="D17" t="s">
        <v>28</v>
      </c>
    </row>
    <row r="18" spans="2:17" ht="15.75" x14ac:dyDescent="0.25">
      <c r="B18" s="9" t="s">
        <v>26</v>
      </c>
      <c r="C18" s="3" t="s">
        <v>24</v>
      </c>
      <c r="D18" t="s">
        <v>28</v>
      </c>
    </row>
    <row r="19" spans="2:17" ht="15.75" x14ac:dyDescent="0.25">
      <c r="B19" s="9" t="s">
        <v>26</v>
      </c>
      <c r="C19" s="3" t="s">
        <v>22</v>
      </c>
      <c r="D19" t="s">
        <v>28</v>
      </c>
    </row>
    <row r="20" spans="2:17" ht="15.75" x14ac:dyDescent="0.25">
      <c r="B20" s="9" t="s">
        <v>26</v>
      </c>
      <c r="C20" s="3" t="s">
        <v>24</v>
      </c>
      <c r="D20" t="s">
        <v>28</v>
      </c>
    </row>
    <row r="21" spans="2:17" ht="15.75" x14ac:dyDescent="0.25">
      <c r="B21" s="9" t="s">
        <v>26</v>
      </c>
      <c r="C21" s="3" t="s">
        <v>23</v>
      </c>
      <c r="D21" t="s">
        <v>28</v>
      </c>
    </row>
    <row r="22" spans="2:17" ht="15.75" x14ac:dyDescent="0.25">
      <c r="B22" s="9" t="s">
        <v>26</v>
      </c>
      <c r="C22" s="3" t="s">
        <v>23</v>
      </c>
      <c r="D22" t="s">
        <v>28</v>
      </c>
    </row>
    <row r="23" spans="2:17" ht="15.75" x14ac:dyDescent="0.25">
      <c r="B23" s="9" t="s">
        <v>25</v>
      </c>
      <c r="C23" s="3" t="s">
        <v>23</v>
      </c>
      <c r="D23" t="s">
        <v>28</v>
      </c>
      <c r="Q23" s="7"/>
    </row>
    <row r="24" spans="2:17" ht="15.75" x14ac:dyDescent="0.25">
      <c r="B24" s="9" t="s">
        <v>26</v>
      </c>
      <c r="C24" s="3" t="s">
        <v>24</v>
      </c>
      <c r="D24" t="s">
        <v>28</v>
      </c>
    </row>
    <row r="25" spans="2:17" ht="15.75" x14ac:dyDescent="0.25">
      <c r="B25" s="9" t="s">
        <v>26</v>
      </c>
      <c r="C25" s="3" t="s">
        <v>24</v>
      </c>
      <c r="D25" t="s">
        <v>28</v>
      </c>
    </row>
    <row r="26" spans="2:17" ht="15.75" x14ac:dyDescent="0.25">
      <c r="B26" s="9" t="s">
        <v>25</v>
      </c>
      <c r="C26" s="3" t="s">
        <v>24</v>
      </c>
      <c r="D26" t="s">
        <v>29</v>
      </c>
    </row>
    <row r="27" spans="2:17" ht="15.75" x14ac:dyDescent="0.25">
      <c r="B27" s="9" t="s">
        <v>26</v>
      </c>
      <c r="C27" s="3" t="s">
        <v>24</v>
      </c>
      <c r="D27" t="s">
        <v>29</v>
      </c>
    </row>
    <row r="28" spans="2:17" ht="15.75" x14ac:dyDescent="0.25">
      <c r="B28" s="9" t="s">
        <v>26</v>
      </c>
      <c r="C28" s="3" t="s">
        <v>22</v>
      </c>
      <c r="D28" t="s">
        <v>29</v>
      </c>
    </row>
    <row r="29" spans="2:17" ht="15.75" x14ac:dyDescent="0.25">
      <c r="B29" s="9" t="s">
        <v>26</v>
      </c>
      <c r="C29" s="3" t="s">
        <v>23</v>
      </c>
      <c r="D29" t="s">
        <v>29</v>
      </c>
    </row>
    <row r="30" spans="2:17" ht="15.75" x14ac:dyDescent="0.25">
      <c r="B30" s="9" t="s">
        <v>25</v>
      </c>
      <c r="C30" s="3" t="s">
        <v>22</v>
      </c>
      <c r="D30" t="s">
        <v>28</v>
      </c>
    </row>
    <row r="31" spans="2:17" ht="15.75" x14ac:dyDescent="0.25">
      <c r="B31" s="9" t="s">
        <v>26</v>
      </c>
      <c r="C31" s="3" t="s">
        <v>22</v>
      </c>
      <c r="D31" t="s">
        <v>28</v>
      </c>
    </row>
    <row r="32" spans="2:17" ht="15.75" x14ac:dyDescent="0.25">
      <c r="B32" s="9" t="s">
        <v>26</v>
      </c>
      <c r="C32" s="3" t="s">
        <v>22</v>
      </c>
      <c r="D32" t="s">
        <v>28</v>
      </c>
    </row>
    <row r="33" spans="2:4" ht="15.75" x14ac:dyDescent="0.25">
      <c r="B33" s="9" t="s">
        <v>26</v>
      </c>
      <c r="C33" s="3" t="s">
        <v>23</v>
      </c>
      <c r="D33" t="s">
        <v>28</v>
      </c>
    </row>
    <row r="34" spans="2:4" ht="15.75" x14ac:dyDescent="0.25">
      <c r="B34" s="9" t="s">
        <v>26</v>
      </c>
      <c r="C34" s="3" t="s">
        <v>23</v>
      </c>
      <c r="D34" t="s">
        <v>28</v>
      </c>
    </row>
    <row r="35" spans="2:4" ht="15.75" x14ac:dyDescent="0.25">
      <c r="B35" s="9" t="s">
        <v>25</v>
      </c>
      <c r="C35" s="3" t="s">
        <v>23</v>
      </c>
      <c r="D35" t="s">
        <v>28</v>
      </c>
    </row>
    <row r="36" spans="2:4" ht="15.75" x14ac:dyDescent="0.25">
      <c r="B36" s="9" t="s">
        <v>26</v>
      </c>
      <c r="C36" s="3" t="s">
        <v>23</v>
      </c>
      <c r="D36" t="s">
        <v>28</v>
      </c>
    </row>
    <row r="37" spans="2:4" ht="15.75" x14ac:dyDescent="0.25">
      <c r="B37" s="9" t="s">
        <v>26</v>
      </c>
      <c r="C37" s="3" t="s">
        <v>23</v>
      </c>
      <c r="D37" t="s">
        <v>28</v>
      </c>
    </row>
    <row r="38" spans="2:4" ht="15.75" x14ac:dyDescent="0.25">
      <c r="B38" s="9" t="s">
        <v>26</v>
      </c>
      <c r="C38" s="3" t="s">
        <v>24</v>
      </c>
      <c r="D38" t="s">
        <v>29</v>
      </c>
    </row>
    <row r="39" spans="2:4" ht="15.75" x14ac:dyDescent="0.25">
      <c r="B39" s="9" t="s">
        <v>26</v>
      </c>
      <c r="C39" s="3" t="s">
        <v>22</v>
      </c>
      <c r="D39" t="s">
        <v>29</v>
      </c>
    </row>
    <row r="40" spans="2:4" ht="15.75" x14ac:dyDescent="0.25">
      <c r="B40" s="9" t="s">
        <v>25</v>
      </c>
      <c r="C40" s="3" t="s">
        <v>24</v>
      </c>
      <c r="D40" t="s">
        <v>29</v>
      </c>
    </row>
    <row r="41" spans="2:4" ht="15.75" x14ac:dyDescent="0.25">
      <c r="B41" s="9" t="s">
        <v>25</v>
      </c>
      <c r="C41" s="3" t="s">
        <v>24</v>
      </c>
      <c r="D41" t="s">
        <v>29</v>
      </c>
    </row>
    <row r="42" spans="2:4" ht="15.75" x14ac:dyDescent="0.25">
      <c r="B42" s="9" t="s">
        <v>26</v>
      </c>
      <c r="C42" s="3" t="s">
        <v>22</v>
      </c>
      <c r="D42" t="s">
        <v>29</v>
      </c>
    </row>
    <row r="43" spans="2:4" ht="15.75" x14ac:dyDescent="0.25">
      <c r="B43" s="9" t="s">
        <v>26</v>
      </c>
      <c r="C43" s="3" t="s">
        <v>24</v>
      </c>
      <c r="D43" t="s">
        <v>28</v>
      </c>
    </row>
    <row r="44" spans="2:4" ht="15.75" x14ac:dyDescent="0.25">
      <c r="B44" s="9" t="s">
        <v>26</v>
      </c>
      <c r="C44" s="3" t="s">
        <v>24</v>
      </c>
      <c r="D44" t="s">
        <v>28</v>
      </c>
    </row>
    <row r="45" spans="2:4" ht="15.75" x14ac:dyDescent="0.25">
      <c r="B45" s="9" t="s">
        <v>26</v>
      </c>
      <c r="C45" s="3" t="s">
        <v>23</v>
      </c>
      <c r="D45" t="s">
        <v>28</v>
      </c>
    </row>
    <row r="46" spans="2:4" ht="15.75" x14ac:dyDescent="0.25">
      <c r="B46" s="9" t="s">
        <v>25</v>
      </c>
      <c r="C46" s="3" t="s">
        <v>23</v>
      </c>
      <c r="D46" t="s">
        <v>28</v>
      </c>
    </row>
    <row r="47" spans="2:4" ht="15.75" x14ac:dyDescent="0.25">
      <c r="B47" s="9" t="s">
        <v>26</v>
      </c>
      <c r="C47" s="3" t="s">
        <v>23</v>
      </c>
      <c r="D47" t="s">
        <v>28</v>
      </c>
    </row>
    <row r="48" spans="2:4" ht="15.75" x14ac:dyDescent="0.25">
      <c r="B48" s="9" t="s">
        <v>26</v>
      </c>
      <c r="C48" s="3" t="s">
        <v>23</v>
      </c>
      <c r="D48" t="s">
        <v>28</v>
      </c>
    </row>
    <row r="49" spans="2:4" ht="15.75" x14ac:dyDescent="0.25">
      <c r="B49" s="9" t="s">
        <v>25</v>
      </c>
      <c r="C49" s="3" t="s">
        <v>23</v>
      </c>
      <c r="D49" t="s">
        <v>28</v>
      </c>
    </row>
    <row r="50" spans="2:4" ht="15.75" x14ac:dyDescent="0.25">
      <c r="B50" s="9" t="s">
        <v>26</v>
      </c>
      <c r="C50" s="3" t="s">
        <v>23</v>
      </c>
      <c r="D50" t="s">
        <v>28</v>
      </c>
    </row>
    <row r="51" spans="2:4" ht="15.75" x14ac:dyDescent="0.25">
      <c r="B51" s="9" t="s">
        <v>26</v>
      </c>
      <c r="C51" s="3" t="s">
        <v>23</v>
      </c>
      <c r="D51" t="s">
        <v>29</v>
      </c>
    </row>
  </sheetData>
  <conditionalFormatting sqref="C2:C51">
    <cfRule type="containsText" dxfId="5" priority="1" operator="containsText" text="A">
      <formula>NOT(ISERROR(SEARCH("A",C2)))</formula>
    </cfRule>
    <cfRule type="containsText" dxfId="4" priority="2" operator="containsText" text="C">
      <formula>NOT(ISERROR(SEARCH("C",C2)))</formula>
    </cfRule>
    <cfRule type="containsText" dxfId="3" priority="3" operator="containsText" text="B">
      <formula>NOT(ISERROR(SEARCH("B",C2)))</formula>
    </cfRule>
    <cfRule type="containsText" dxfId="2" priority="4" operator="containsText" text="C">
      <formula>NOT(ISERROR(SEARCH("C",C2)))</formula>
    </cfRule>
  </conditionalFormatting>
  <pageMargins left="0.7" right="0.7" top="0.75" bottom="0.75" header="0.3" footer="0.3"/>
  <pageSetup paperSize="9" orientation="portrait" r:id="rId4"/>
  <drawing r:id="rId5"/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2"/>
  <sheetViews>
    <sheetView workbookViewId="0">
      <selection activeCell="G15" sqref="G15"/>
    </sheetView>
  </sheetViews>
  <sheetFormatPr baseColWidth="10"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3"/>
  <sheetViews>
    <sheetView workbookViewId="0">
      <selection activeCell="G15" sqref="G15"/>
    </sheetView>
  </sheetViews>
  <sheetFormatPr baseColWidth="10" defaultRowHeight="15" x14ac:dyDescent="0.25"/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2"/>
  <sheetViews>
    <sheetView workbookViewId="0">
      <selection activeCell="G15" sqref="G15"/>
    </sheetView>
  </sheetViews>
  <sheetFormatPr baseColWidth="10" defaultRowHeight="15" x14ac:dyDescent="0.25"/>
  <sheetData>
    <row r="1" spans="1:1" x14ac:dyDescent="0.25">
      <c r="A1" t="s">
        <v>25</v>
      </c>
    </row>
    <row r="2" spans="1:1" x14ac:dyDescent="0.25">
      <c r="A2" t="s">
        <v>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Menu</vt:lpstr>
      <vt:lpstr>données_salaire</vt:lpstr>
      <vt:lpstr>LIVRE_Paie</vt:lpstr>
      <vt:lpstr>bulletin_salaire</vt:lpstr>
      <vt:lpstr>écriture_comptable</vt:lpstr>
      <vt:lpstr>Tableau de bord</vt:lpstr>
      <vt:lpstr>Etat_civil</vt:lpstr>
      <vt:lpstr>Elt_categorie</vt:lpstr>
      <vt:lpstr>SEXE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johana faye</cp:lastModifiedBy>
  <cp:lastPrinted>2020-07-17T14:11:12Z</cp:lastPrinted>
  <dcterms:created xsi:type="dcterms:W3CDTF">2006-09-16T00:00:00Z</dcterms:created>
  <dcterms:modified xsi:type="dcterms:W3CDTF">2020-07-17T16:54:58Z</dcterms:modified>
</cp:coreProperties>
</file>